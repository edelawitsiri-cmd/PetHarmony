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Bienvenue" sheetId="1" state="visible" r:id="rId1"/>
    <sheet name="1. Les cellules" sheetId="2" state="visible" r:id="rId2"/>
    <sheet name="2. Calculs simples" sheetId="3" state="visible" r:id="rId3"/>
    <sheet name="3. SOMME et MOYENNE" sheetId="4" state="visible" r:id="rId4"/>
    <sheet name="4. MIN MAX NB" sheetId="5" state="visible" r:id="rId5"/>
    <sheet name="5. La fonction SI" sheetId="6" state="visible" r:id="rId6"/>
    <sheet name="6. Projet argent de poche" sheetId="7" state="visible" r:id="rId7"/>
    <sheet name="✅ Solutions (prof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b val="1"/>
      <color rgb="006C5CE7"/>
      <sz val="14"/>
    </font>
    <font>
      <color rgb="002D3436"/>
      <sz val="11"/>
    </font>
    <font>
      <b val="1"/>
      <color rgb="00FFFFFF"/>
      <sz val="12"/>
    </font>
    <font>
      <b val="1"/>
      <color rgb="002D3436"/>
      <sz val="11"/>
    </font>
    <font>
      <i val="1"/>
      <color rgb="00636E72"/>
      <sz val="11"/>
    </font>
    <font>
      <b val="1"/>
      <color rgb="0000B894"/>
    </font>
    <font>
      <b val="1"/>
      <color rgb="006C5CE7"/>
    </font>
    <font>
      <b val="1"/>
      <color rgb="00FFFFFF"/>
    </font>
    <font>
      <b val="1"/>
      <color rgb="00636E72"/>
    </font>
    <font>
      <b val="1"/>
      <color rgb="006C5CE7"/>
      <sz val="11"/>
    </font>
    <font>
      <i val="1"/>
      <color rgb="00FD79A8"/>
      <sz val="11"/>
    </font>
    <font>
      <name val="Consolas"/>
      <color rgb="00636E72"/>
    </font>
    <font>
      <i val="1"/>
      <color rgb="0000B894"/>
      <sz val="11"/>
    </font>
    <font>
      <name val="Consolas"/>
      <b val="1"/>
      <color rgb="0000B894"/>
    </font>
    <font>
      <color rgb="00FD79A8"/>
      <sz val="11"/>
    </font>
    <font>
      <b val="1"/>
      <color rgb="00FD79A8"/>
      <sz val="11"/>
    </font>
    <font>
      <name val="Consolas"/>
    </font>
    <font>
      <name val="Consolas"/>
      <color rgb="002D3436"/>
    </font>
  </fonts>
  <fills count="10">
    <fill>
      <patternFill/>
    </fill>
    <fill>
      <patternFill patternType="gray125"/>
    </fill>
    <fill>
      <patternFill patternType="solid">
        <fgColor rgb="006C5CE7"/>
      </patternFill>
    </fill>
    <fill>
      <patternFill patternType="solid">
        <fgColor rgb="0000B894"/>
      </patternFill>
    </fill>
    <fill>
      <patternFill patternType="solid">
        <fgColor rgb="00FDCB6E"/>
      </patternFill>
    </fill>
    <fill>
      <patternFill patternType="solid">
        <fgColor rgb="00D6F5EC"/>
      </patternFill>
    </fill>
    <fill>
      <patternFill patternType="solid">
        <fgColor rgb="00FFF3D6"/>
      </patternFill>
    </fill>
    <fill>
      <patternFill patternType="solid">
        <fgColor rgb="00FD79A8"/>
      </patternFill>
    </fill>
    <fill>
      <patternFill patternType="solid">
        <fgColor rgb="00636E72"/>
      </patternFill>
    </fill>
    <fill>
      <patternFill patternType="solid">
        <fgColor rgb="00E8E5FB"/>
      </patternFill>
    </fill>
  </fills>
  <borders count="6">
    <border>
      <left/>
      <right/>
      <top/>
      <bottom/>
      <diagonal/>
    </border>
    <border>
      <left style="thin">
        <color rgb="00B2BEC3"/>
      </left>
      <right style="thin">
        <color rgb="00B2BEC3"/>
      </right>
      <top style="thin">
        <color rgb="00B2BEC3"/>
      </top>
      <bottom style="thin">
        <color rgb="00B2BEC3"/>
      </bottom>
    </border>
    <border>
      <left/>
      <right/>
      <top style="thin">
        <color rgb="00B2BEC3"/>
      </top>
      <bottom/>
      <diagonal/>
    </border>
    <border>
      <left/>
      <right style="thin">
        <color rgb="00B2BEC3"/>
      </right>
      <top style="thin">
        <color rgb="00B2BEC3"/>
      </top>
      <bottom/>
      <diagonal/>
    </border>
    <border>
      <left/>
      <right style="thin">
        <color rgb="00B2BEC3"/>
      </right>
      <top style="thin">
        <color rgb="00B2BEC3"/>
      </top>
      <bottom style="thin">
        <color rgb="00B2BEC3"/>
      </bottom>
      <diagonal/>
    </border>
    <border>
      <left/>
      <right/>
      <top style="thin">
        <color rgb="00B2BEC3"/>
      </top>
      <bottom style="thin">
        <color rgb="00B2BEC3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/>
    </xf>
    <xf numFmtId="0" fontId="14" fillId="0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18" fillId="9" borderId="1" applyAlignment="1" pivotButton="0" quotePrefix="0" xfId="0">
      <alignment horizontal="center"/>
    </xf>
    <xf numFmtId="0" fontId="19" fillId="9" borderId="1" pivotButton="0" quotePrefix="0" xfId="0"/>
    <xf numFmtId="0" fontId="8" fillId="0" borderId="1" pivotButton="0" quotePrefix="0" xfId="0"/>
    <xf numFmtId="0" fontId="18" fillId="0" borderId="1" applyAlignment="1" pivotButton="0" quotePrefix="0" xfId="0">
      <alignment horizontal="center"/>
    </xf>
    <xf numFmtId="0" fontId="1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Prof</author>
  </authors>
  <commentList>
    <comment ref="C13" authorId="0" shapeId="0">
      <text>
        <t>Écris ta réponse ici 🙂</t>
      </text>
    </comment>
    <comment ref="C14" authorId="0" shapeId="0">
      <text>
        <t>Écris ta réponse ici 🙂</t>
      </text>
    </comment>
    <comment ref="C15" authorId="0" shapeId="0">
      <text>
        <t>Écris ta réponse ici 🙂</t>
      </text>
    </comment>
    <comment ref="C16" authorId="0" shapeId="0">
      <text>
        <t>Écris ta réponse ici 🙂</t>
      </text>
    </comment>
    <comment ref="F25" authorId="0" shapeId="0">
      <text>
        <t>Une lettre + un numéro, ex : C22</t>
      </text>
    </comment>
    <comment ref="F26" authorId="0" shapeId="0">
      <text>
        <t>Une lettre + un numéro, ex : C22</t>
      </text>
    </comment>
    <comment ref="F27" authorId="0" shapeId="0">
      <text>
        <t>Une lettre + un numéro, ex : C22</t>
      </text>
    </comment>
  </commentList>
</comments>
</file>

<file path=xl/comments/comment2.xml><?xml version="1.0" encoding="utf-8"?>
<comments xmlns="http://schemas.openxmlformats.org/spreadsheetml/2006/main">
  <authors>
    <author>Prof</author>
  </authors>
  <commentList>
    <comment ref="D15" authorId="0" shapeId="0">
      <text>
        <t>Tape la formule de la colonne d'à côté</t>
      </text>
    </comment>
    <comment ref="D16" authorId="0" shapeId="0">
      <text>
        <t>Tape la formule de la colonne d'à côté</t>
      </text>
    </comment>
    <comment ref="D17" authorId="0" shapeId="0">
      <text>
        <t>Tape la formule de la colonne d'à côté</t>
      </text>
    </comment>
    <comment ref="D18" authorId="0" shapeId="0">
      <text>
        <t>Tape la formule de la colonne d'à côté</t>
      </text>
    </comment>
    <comment ref="D19" authorId="0" shapeId="0">
      <text>
        <t>Tape la formule de la colonne d'à côté</t>
      </text>
    </comment>
    <comment ref="E27" authorId="0" shapeId="0">
      <text>
        <t>Tape  =C27*D27</t>
      </text>
    </comment>
    <comment ref="E28" authorId="0" shapeId="0">
      <text>
        <t>Tape  =C28*D28</t>
      </text>
    </comment>
    <comment ref="E29" authorId="0" shapeId="0">
      <text>
        <t>Tape  =C29*D29</t>
      </text>
    </comment>
    <comment ref="E30" authorId="0" shapeId="0">
      <text>
        <t>Tape  =C30*D30</t>
      </text>
    </comment>
  </commentList>
</comments>
</file>

<file path=xl/comments/comment3.xml><?xml version="1.0" encoding="utf-8"?>
<comments xmlns="http://schemas.openxmlformats.org/spreadsheetml/2006/main">
  <authors>
    <author>Prof</author>
  </authors>
  <commentList>
    <comment ref="C19" authorId="0" shapeId="0">
      <text>
        <t>Tape  =SOMME(C13:C18)</t>
      </text>
    </comment>
    <comment ref="C20" authorId="0" shapeId="0">
      <text>
        <t>Tape  =MOYENNE(C13:C18)</t>
      </text>
    </comment>
    <comment ref="F22" authorId="0" shapeId="0">
      <text>
        <t>Regarde la case C20</t>
      </text>
    </comment>
    <comment ref="C26" authorId="0" shapeId="0">
      <text>
        <t>=MAX(C13:C18)</t>
      </text>
    </comment>
  </commentList>
</comments>
</file>

<file path=xl/comments/comment4.xml><?xml version="1.0" encoding="utf-8"?>
<comments xmlns="http://schemas.openxmlformats.org/spreadsheetml/2006/main">
  <authors>
    <author>Prof</author>
  </authors>
  <commentList>
    <comment ref="F20" authorId="0" shapeId="0">
      <text>
        <t>Tape  =MAX(C13:C19)</t>
      </text>
    </comment>
    <comment ref="F21" authorId="0" shapeId="0">
      <text>
        <t>Tape  =MIN(C13:C19)</t>
      </text>
    </comment>
    <comment ref="F22" authorId="0" shapeId="0">
      <text>
        <t>Tape  =NB(C13:C19)</t>
      </text>
    </comment>
    <comment ref="F23" authorId="0" shapeId="0">
      <text>
        <t>Tape  =MOYENNE(C13:C19)</t>
      </text>
    </comment>
  </commentList>
</comments>
</file>

<file path=xl/comments/comment5.xml><?xml version="1.0" encoding="utf-8"?>
<comments xmlns="http://schemas.openxmlformats.org/spreadsheetml/2006/main">
  <authors>
    <author>Prof</author>
  </authors>
  <commentList>
    <comment ref="D14" authorId="0" shapeId="0">
      <text>
        <t>Tape  =SI(C14&gt;=10;"Réussi";"À revoir")</t>
      </text>
    </comment>
    <comment ref="D15" authorId="0" shapeId="0">
      <text>
        <t>Tape  =SI(C15&gt;=10;"Réussi";"À revoir")</t>
      </text>
    </comment>
    <comment ref="D16" authorId="0" shapeId="0">
      <text>
        <t>Tape  =SI(C16&gt;=10;"Réussi";"À revoir")</t>
      </text>
    </comment>
    <comment ref="D17" authorId="0" shapeId="0">
      <text>
        <t>Tape  =SI(C17&gt;=10;"Réussi";"À revoir")</t>
      </text>
    </comment>
    <comment ref="D18" authorId="0" shapeId="0">
      <text>
        <t>Tape  =SI(C18&gt;=10;"Réussi";"À revoir")</t>
      </text>
    </comment>
    <comment ref="D24" authorId="0" shapeId="0">
      <text>
        <t>Tape  =SI(B24&gt;=C24;"Je peux l'acheter";"Trop cher")</t>
      </text>
    </comment>
  </commentList>
</comments>
</file>

<file path=xl/comments/comment6.xml><?xml version="1.0" encoding="utf-8"?>
<comments xmlns="http://schemas.openxmlformats.org/spreadsheetml/2006/main">
  <authors>
    <author>Prof</author>
  </authors>
  <commentList>
    <comment ref="C12" authorId="0" shapeId="0">
      <text>
        <t>=SOMME(C9:C11)</t>
      </text>
    </comment>
    <comment ref="E16" authorId="0" shapeId="0">
      <text>
        <t>=C16*D16</t>
      </text>
    </comment>
    <comment ref="E17" authorId="0" shapeId="0">
      <text>
        <t>=C17*D17</t>
      </text>
    </comment>
    <comment ref="E18" authorId="0" shapeId="0">
      <text>
        <t>=C18*D18</t>
      </text>
    </comment>
    <comment ref="E19" authorId="0" shapeId="0">
      <text>
        <t>=SOMME(E16:E18)</t>
      </text>
    </comment>
    <comment ref="C23" authorId="0" shapeId="0">
      <text>
        <t>=C12-E19</t>
      </text>
    </comment>
    <comment ref="C27" authorId="0" shapeId="0">
      <text>
        <t>=SI(C23&gt;=0;"Super, j'ai économisé !";"Attention, trop dépensé !")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34" customHeight="1">
      <c r="B2" s="1" t="inlineStr">
        <is>
          <t>🎓  Apprendre Excel — pas à pas</t>
        </is>
      </c>
    </row>
    <row r="4">
      <c r="B4" s="2" t="inlineStr">
        <is>
          <t>Bonjour et bienvenue ! 👋</t>
        </is>
      </c>
    </row>
    <row r="6">
      <c r="B6" s="3" t="inlineStr">
        <is>
          <t>• Ce classeur va t'apprendre à utiliser Excel, étape par étape.</t>
        </is>
      </c>
    </row>
    <row r="7">
      <c r="B7" s="3" t="inlineStr">
        <is>
          <t>• Tu vas découvrir les cellules, puis les formules de calcul.</t>
        </is>
      </c>
    </row>
    <row r="8">
      <c r="B8" s="3" t="inlineStr">
        <is>
          <t>• Il y a un onglet par leçon (regarde tout en bas de l'écran ⬇).</t>
        </is>
      </c>
    </row>
    <row r="9">
      <c r="B9" s="3" t="inlineStr">
        <is>
          <t>• Fais les exercices dans l'ordre : chaque leçon prépare la suivante.</t>
        </is>
      </c>
    </row>
    <row r="12">
      <c r="B12" s="4" t="inlineStr">
        <is>
          <t>📌 Les 3 règles d'or</t>
        </is>
      </c>
    </row>
    <row r="13" ht="22" customHeight="1">
      <c r="B13" s="5" t="inlineStr">
        <is>
          <t>1.  Une formule commence TOUJOURS par le signe  =</t>
        </is>
      </c>
    </row>
    <row r="14" ht="22" customHeight="1">
      <c r="B14" s="5" t="inlineStr">
        <is>
          <t>2.  On clique sur une cellule pour la sélectionner (ex : A1, B3...).</t>
        </is>
      </c>
    </row>
    <row r="15" ht="22" customHeight="1">
      <c r="B15" s="5" t="inlineStr">
        <is>
          <t>3.  Les cases JAUNES sont à toi : c'est là que tu écris tes réponses.</t>
        </is>
      </c>
    </row>
    <row r="17">
      <c r="B17" s="6" t="inlineStr">
        <is>
          <t>🗺️ Le parcours</t>
        </is>
      </c>
    </row>
    <row r="18">
      <c r="B18" s="3" t="inlineStr">
        <is>
          <t>→  Leçon 1 — Se repérer dans Excel (les cellules)</t>
        </is>
      </c>
    </row>
    <row r="19">
      <c r="B19" s="3" t="inlineStr">
        <is>
          <t>→  Leçon 2 — Les calculs simples ( + − × ÷ )</t>
        </is>
      </c>
    </row>
    <row r="20">
      <c r="B20" s="3" t="inlineStr">
        <is>
          <t>→  Leçon 3 — SOMME et MOYENNE</t>
        </is>
      </c>
    </row>
    <row r="21">
      <c r="B21" s="3" t="inlineStr">
        <is>
          <t>→  Leçon 4 — MIN, MAX et NB</t>
        </is>
      </c>
    </row>
    <row r="22">
      <c r="B22" s="3" t="inlineStr">
        <is>
          <t>→  Leçon 5 — La fonction SI (les conditions)</t>
        </is>
      </c>
    </row>
    <row r="23">
      <c r="B23" s="3" t="inlineStr">
        <is>
          <t>→  Leçon 6 — Grand projet : l'argent de poche 🐷</t>
        </is>
      </c>
    </row>
    <row r="24">
      <c r="B24" s="3" t="inlineStr">
        <is>
          <t>→  ✅ Solutions (pour la prof)</t>
        </is>
      </c>
    </row>
    <row r="26">
      <c r="B26" s="7" t="inlineStr">
        <is>
          <t>💡 Astuce : si tu te trompes, appuie sur Ctrl + Z pour annuler. Pas de panique !</t>
        </is>
      </c>
    </row>
  </sheetData>
  <mergeCells count="19">
    <mergeCell ref="B2:G2"/>
    <mergeCell ref="B14:G14"/>
    <mergeCell ref="B17:G17"/>
    <mergeCell ref="B23:G23"/>
    <mergeCell ref="B8:G8"/>
    <mergeCell ref="B13:G13"/>
    <mergeCell ref="B19:G19"/>
    <mergeCell ref="B9:G9"/>
    <mergeCell ref="B15:G15"/>
    <mergeCell ref="B6:G6"/>
    <mergeCell ref="B24:G24"/>
    <mergeCell ref="B20:G20"/>
    <mergeCell ref="B4:G4"/>
    <mergeCell ref="B26:G26"/>
    <mergeCell ref="B7:G7"/>
    <mergeCell ref="B22:G22"/>
    <mergeCell ref="B12:G12"/>
    <mergeCell ref="B18:G18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0" customHeight="1">
      <c r="B2" s="1" t="inlineStr">
        <is>
          <t>Leçon 1 — Se repérer dans Excel</t>
        </is>
      </c>
    </row>
    <row r="4">
      <c r="B4" s="5" t="inlineStr">
        <is>
          <t>Excel est un grand tableau. Chaque CASE s'appelle une CELLULE.</t>
        </is>
      </c>
    </row>
    <row r="5">
      <c r="B5" s="3" t="inlineStr">
        <is>
          <t>• Les COLONNES ont des lettres (A, B, C...) en haut.</t>
        </is>
      </c>
    </row>
    <row r="6">
      <c r="B6" s="3" t="inlineStr">
        <is>
          <t>• Les LIGNES ont des numéros (1, 2, 3...) à gauche.</t>
        </is>
      </c>
    </row>
    <row r="7">
      <c r="B7" s="3" t="inlineStr">
        <is>
          <t>• Une cellule = une lettre + un numéro. Exemple : la case ci-dessous est en C9.</t>
        </is>
      </c>
    </row>
    <row r="9">
      <c r="C9" s="8" t="inlineStr">
        <is>
          <t>Je suis en C9 !</t>
        </is>
      </c>
      <c r="D9" s="9" t="n"/>
    </row>
    <row r="11">
      <c r="B11" s="4" t="inlineStr">
        <is>
          <t>✏️ Exercice 1 — Écris dans les bonnes cellules</t>
        </is>
      </c>
    </row>
    <row r="12">
      <c r="B12" s="7" t="inlineStr">
        <is>
          <t>Clique sur la cellule demandée, écris la réponse, puis appuie sur Entrée.</t>
        </is>
      </c>
    </row>
    <row r="13">
      <c r="B13" s="5" t="inlineStr">
        <is>
          <t>Mon prénom :</t>
        </is>
      </c>
      <c r="C13" s="10" t="n"/>
      <c r="D13" s="11" t="n"/>
      <c r="E13" s="9" t="n"/>
    </row>
    <row r="14">
      <c r="B14" s="5" t="inlineStr">
        <is>
          <t>Mon âge :</t>
        </is>
      </c>
      <c r="C14" s="10" t="n"/>
      <c r="D14" s="11" t="n"/>
      <c r="E14" s="9" t="n"/>
    </row>
    <row r="15">
      <c r="B15" s="5" t="inlineStr">
        <is>
          <t>Ma ville :</t>
        </is>
      </c>
      <c r="C15" s="10" t="n"/>
      <c r="D15" s="11" t="n"/>
      <c r="E15" s="9" t="n"/>
    </row>
    <row r="16">
      <c r="B16" s="5" t="inlineStr">
        <is>
          <t>Mon animal préféré :</t>
        </is>
      </c>
      <c r="C16" s="10" t="n"/>
      <c r="D16" s="11" t="n"/>
      <c r="E16" s="9" t="n"/>
    </row>
    <row r="18">
      <c r="B18" s="6" t="inlineStr">
        <is>
          <t>🔎 Exercice 2 — Le jeu des coordonnées</t>
        </is>
      </c>
    </row>
    <row r="19">
      <c r="B19" s="3" t="inlineStr">
        <is>
          <t>Regarde le tableau. Réponds dans les cases jaunes en donnant le NOM de la cellule.</t>
        </is>
      </c>
    </row>
    <row r="21">
      <c r="B21" s="12" t="n"/>
      <c r="C21" s="13" t="inlineStr">
        <is>
          <t>Colonne B</t>
        </is>
      </c>
      <c r="D21" s="13" t="inlineStr">
        <is>
          <t>Colonne C</t>
        </is>
      </c>
      <c r="E21" s="13" t="inlineStr">
        <is>
          <t>Colonne D</t>
        </is>
      </c>
    </row>
    <row r="22">
      <c r="B22" s="14" t="inlineStr">
        <is>
          <t>Ligne 22</t>
        </is>
      </c>
      <c r="C22" s="15" t="inlineStr">
        <is>
          <t>🍎 Pomme</t>
        </is>
      </c>
      <c r="D22" s="15" t="inlineStr">
        <is>
          <t>🍌 Banane</t>
        </is>
      </c>
      <c r="E22" s="15" t="inlineStr">
        <is>
          <t>🍓 Fraise</t>
        </is>
      </c>
    </row>
    <row r="23">
      <c r="B23" s="14" t="inlineStr">
        <is>
          <t>Ligne 23</t>
        </is>
      </c>
      <c r="C23" s="15" t="inlineStr">
        <is>
          <t>🐶 Chien</t>
        </is>
      </c>
      <c r="D23" s="15" t="inlineStr">
        <is>
          <t>🐱 Chat</t>
        </is>
      </c>
      <c r="E23" s="15" t="inlineStr">
        <is>
          <t>🐰 Lapin</t>
        </is>
      </c>
    </row>
    <row r="25">
      <c r="B25" s="5" t="inlineStr">
        <is>
          <t>Dans quelle cellule se trouve le 🐱 Chat ?</t>
        </is>
      </c>
      <c r="F25" s="10" t="n"/>
    </row>
    <row r="26">
      <c r="B26" s="5" t="inlineStr">
        <is>
          <t>Dans quelle cellule se trouve la 🍓 Fraise ?</t>
        </is>
      </c>
      <c r="F26" s="10" t="n"/>
    </row>
    <row r="27">
      <c r="B27" s="5" t="inlineStr">
        <is>
          <t>Dans quelle cellule se trouve le 🍎 Pomme ?</t>
        </is>
      </c>
      <c r="F27" s="10" t="n"/>
    </row>
  </sheetData>
  <mergeCells count="17">
    <mergeCell ref="C16:E16"/>
    <mergeCell ref="B26:E26"/>
    <mergeCell ref="B27:E27"/>
    <mergeCell ref="C14:E14"/>
    <mergeCell ref="C13:E13"/>
    <mergeCell ref="B18:H18"/>
    <mergeCell ref="B19:H19"/>
    <mergeCell ref="B4:H4"/>
    <mergeCell ref="B12:H12"/>
    <mergeCell ref="B6:H6"/>
    <mergeCell ref="B2:H2"/>
    <mergeCell ref="B25:E25"/>
    <mergeCell ref="B7:H7"/>
    <mergeCell ref="C9:D9"/>
    <mergeCell ref="B11:H11"/>
    <mergeCell ref="B5:H5"/>
    <mergeCell ref="C15:E1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0B894"/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0" customHeight="1">
      <c r="B2" s="1" t="inlineStr">
        <is>
          <t>Leçon 2 — Les calculs ( + − × ÷ )</t>
        </is>
      </c>
    </row>
    <row r="4">
      <c r="B4" s="16" t="inlineStr">
        <is>
          <t>MAGIE ! Excel sait calculer tout seul. Il suffit de commencer par  =</t>
        </is>
      </c>
    </row>
    <row r="5">
      <c r="B5" s="3" t="inlineStr">
        <is>
          <t>• +   pour additionner    (ex :  =5+3  donne 8)</t>
        </is>
      </c>
    </row>
    <row r="6">
      <c r="B6" s="3" t="inlineStr">
        <is>
          <t>• −   pour soustraire      (ex :  =10-4 donne 6)</t>
        </is>
      </c>
    </row>
    <row r="7">
      <c r="B7" s="3" t="inlineStr">
        <is>
          <t>• *   pour multiplier      (ex :  =6*7  donne 42)</t>
        </is>
      </c>
    </row>
    <row r="8">
      <c r="B8" s="3" t="inlineStr">
        <is>
          <t>• /   pour diviser         (ex :  =20/4 donne 5)</t>
        </is>
      </c>
    </row>
    <row r="10">
      <c r="B10" s="17" t="inlineStr">
        <is>
          <t>⚠️ Pour multiplier on utilise * (étoile) et pour diviser on utilise / (barre).</t>
        </is>
      </c>
    </row>
    <row r="12">
      <c r="B12" s="4" t="inlineStr">
        <is>
          <t>✏️ Exercice 1 — Recopie ces formules dans les cases jaunes</t>
        </is>
      </c>
    </row>
    <row r="14">
      <c r="B14" s="13" t="inlineStr">
        <is>
          <t>À calculer</t>
        </is>
      </c>
      <c r="C14" s="13" t="inlineStr">
        <is>
          <t>Tape cette formule</t>
        </is>
      </c>
      <c r="D14" s="13" t="inlineStr">
        <is>
          <t>Résultat (case à toi)</t>
        </is>
      </c>
      <c r="E14" s="9" t="n"/>
    </row>
    <row r="15">
      <c r="B15" s="15" t="inlineStr">
        <is>
          <t>8 + 5</t>
        </is>
      </c>
      <c r="C15" s="18">
        <f>8+5</f>
        <v/>
      </c>
      <c r="D15" s="10" t="n"/>
      <c r="E15" s="9" t="n"/>
    </row>
    <row r="16">
      <c r="B16" s="15" t="inlineStr">
        <is>
          <t>20 − 7</t>
        </is>
      </c>
      <c r="C16" s="18">
        <f>20-7</f>
        <v/>
      </c>
      <c r="D16" s="10" t="n"/>
      <c r="E16" s="9" t="n"/>
    </row>
    <row r="17">
      <c r="B17" s="15" t="inlineStr">
        <is>
          <t>6 × 9</t>
        </is>
      </c>
      <c r="C17" s="18">
        <f>6*9</f>
        <v/>
      </c>
      <c r="D17" s="10" t="n"/>
      <c r="E17" s="9" t="n"/>
    </row>
    <row r="18">
      <c r="B18" s="15" t="inlineStr">
        <is>
          <t>36 ÷ 4</t>
        </is>
      </c>
      <c r="C18" s="18">
        <f>36/4</f>
        <v/>
      </c>
      <c r="D18" s="10" t="n"/>
      <c r="E18" s="9" t="n"/>
    </row>
    <row r="19">
      <c r="B19" s="15" t="inlineStr">
        <is>
          <t>12 + 3 × 2</t>
        </is>
      </c>
      <c r="C19" s="18">
        <f>12+3*2</f>
        <v/>
      </c>
      <c r="D19" s="10" t="n"/>
      <c r="E19" s="9" t="n"/>
    </row>
    <row r="21">
      <c r="B21" s="7" t="inlineStr">
        <is>
          <t>🤔 Surprise ligne 19 : Excel fait d'abord les × et ÷, puis les + et −. (=12+3*2 donne 18)</t>
        </is>
      </c>
    </row>
    <row r="23">
      <c r="B23" s="6" t="inlineStr">
        <is>
          <t>🛒 Exercice 2 — Les courses pour le chien</t>
        </is>
      </c>
    </row>
    <row r="24">
      <c r="B24" s="3" t="inlineStr">
        <is>
          <t>Calcule le PRIX TOTAL de chaque ligne :  prix × quantité.  (utilise une formule avec *)</t>
        </is>
      </c>
    </row>
    <row r="26">
      <c r="B26" s="13" t="inlineStr">
        <is>
          <t>Article</t>
        </is>
      </c>
      <c r="C26" s="13" t="inlineStr">
        <is>
          <t>Prix (€)</t>
        </is>
      </c>
      <c r="D26" s="13" t="inlineStr">
        <is>
          <t>Quantité</t>
        </is>
      </c>
      <c r="E26" s="13" t="inlineStr">
        <is>
          <t>Total (€)</t>
        </is>
      </c>
    </row>
    <row r="27">
      <c r="B27" s="15" t="inlineStr">
        <is>
          <t>Croquettes</t>
        </is>
      </c>
      <c r="C27" s="15" t="n">
        <v>12</v>
      </c>
      <c r="D27" s="15" t="n">
        <v>2</v>
      </c>
      <c r="E27" s="10" t="n"/>
    </row>
    <row r="28">
      <c r="B28" s="15" t="inlineStr">
        <is>
          <t>Balle</t>
        </is>
      </c>
      <c r="C28" s="15" t="n">
        <v>3</v>
      </c>
      <c r="D28" s="15" t="n">
        <v>4</v>
      </c>
      <c r="E28" s="10" t="n"/>
    </row>
    <row r="29">
      <c r="B29" s="15" t="inlineStr">
        <is>
          <t>Collier</t>
        </is>
      </c>
      <c r="C29" s="15" t="n">
        <v>8</v>
      </c>
      <c r="D29" s="15" t="n">
        <v>1</v>
      </c>
      <c r="E29" s="10" t="n"/>
    </row>
    <row r="30">
      <c r="B30" s="15" t="inlineStr">
        <is>
          <t>Friandises</t>
        </is>
      </c>
      <c r="C30" s="15" t="n">
        <v>5</v>
      </c>
      <c r="D30" s="15" t="n">
        <v>3</v>
      </c>
      <c r="E30" s="10" t="n"/>
    </row>
    <row r="31">
      <c r="B31" s="19" t="inlineStr">
        <is>
          <t>💡 Astuce de pro : au lieu d'écrire les nombres, écris les CELLULES. Ex : =C27*D27</t>
        </is>
      </c>
    </row>
  </sheetData>
  <mergeCells count="18">
    <mergeCell ref="B8:H8"/>
    <mergeCell ref="D16:E16"/>
    <mergeCell ref="D18:E18"/>
    <mergeCell ref="D15:E15"/>
    <mergeCell ref="D19:E19"/>
    <mergeCell ref="B4:H4"/>
    <mergeCell ref="D17:E17"/>
    <mergeCell ref="B21:H21"/>
    <mergeCell ref="B12:H12"/>
    <mergeCell ref="B6:H6"/>
    <mergeCell ref="D14:E14"/>
    <mergeCell ref="B2:H2"/>
    <mergeCell ref="B24:H24"/>
    <mergeCell ref="B7:H7"/>
    <mergeCell ref="B10:H10"/>
    <mergeCell ref="B5:H5"/>
    <mergeCell ref="B31:H31"/>
    <mergeCell ref="B23:H2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DCB6E"/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0" customHeight="1">
      <c r="B2" s="1" t="inlineStr">
        <is>
          <t>Leçon 3 — SOMME et MOYENNE</t>
        </is>
      </c>
    </row>
    <row r="4">
      <c r="B4" s="5" t="inlineStr">
        <is>
          <t>Pour additionner BEAUCOUP de nombres, on utilise des FONCTIONS toutes prêtes.</t>
        </is>
      </c>
    </row>
    <row r="5">
      <c r="B5" s="3" t="inlineStr">
        <is>
          <t>• =SOMME(B5:B10)  →  additionne tout, de la cellule B5 jusqu'à B10.</t>
        </is>
      </c>
    </row>
    <row r="6">
      <c r="B6" s="3" t="inlineStr">
        <is>
          <t>• =MOYENNE(B5:B10)  →  calcule la moyenne (très utile pour les notes !).</t>
        </is>
      </c>
    </row>
    <row r="7">
      <c r="B7" s="7" t="inlineStr">
        <is>
          <t>Le « : » veut dire « jusqu'à ». B5:B10 = toutes les cases de B5 à B10.</t>
        </is>
      </c>
    </row>
    <row r="9">
      <c r="B9" s="4" t="inlineStr">
        <is>
          <t>📚 Exercice — Tes notes du trimestre</t>
        </is>
      </c>
    </row>
    <row r="10">
      <c r="B10" s="3" t="inlineStr">
        <is>
          <t>Voici des notes sur 20. Calcule le total puis la moyenne dans les cases jaunes.</t>
        </is>
      </c>
    </row>
    <row r="12">
      <c r="B12" s="13" t="inlineStr">
        <is>
          <t>Matière</t>
        </is>
      </c>
      <c r="C12" s="13" t="inlineStr">
        <is>
          <t>Note / 20</t>
        </is>
      </c>
    </row>
    <row r="13">
      <c r="B13" s="15" t="inlineStr">
        <is>
          <t>Français</t>
        </is>
      </c>
      <c r="C13" s="15" t="n">
        <v>14</v>
      </c>
    </row>
    <row r="14">
      <c r="B14" s="15" t="inlineStr">
        <is>
          <t>Maths</t>
        </is>
      </c>
      <c r="C14" s="15" t="n">
        <v>11</v>
      </c>
    </row>
    <row r="15">
      <c r="B15" s="15" t="inlineStr">
        <is>
          <t>Anglais</t>
        </is>
      </c>
      <c r="C15" s="15" t="n">
        <v>16</v>
      </c>
    </row>
    <row r="16">
      <c r="B16" s="15" t="inlineStr">
        <is>
          <t>Histoire</t>
        </is>
      </c>
      <c r="C16" s="15" t="n">
        <v>13</v>
      </c>
    </row>
    <row r="17">
      <c r="B17" s="15" t="inlineStr">
        <is>
          <t>Sport</t>
        </is>
      </c>
      <c r="C17" s="15" t="n">
        <v>18</v>
      </c>
    </row>
    <row r="18">
      <c r="B18" s="15" t="inlineStr">
        <is>
          <t>Sciences</t>
        </is>
      </c>
      <c r="C18" s="15" t="n">
        <v>12</v>
      </c>
    </row>
    <row r="19">
      <c r="B19" s="5" t="inlineStr">
        <is>
          <t>TOTAL des points :</t>
        </is>
      </c>
      <c r="C19" s="20" t="n"/>
    </row>
    <row r="20">
      <c r="B20" s="5" t="inlineStr">
        <is>
          <t>MOYENNE générale :</t>
        </is>
      </c>
      <c r="C20" s="20" t="n"/>
    </row>
    <row r="22">
      <c r="B22" s="3" t="inlineStr">
        <is>
          <t>❓ Question : ta moyenne est-elle au-dessus de 10 ? Écris OUI ou NON ➜</t>
        </is>
      </c>
      <c r="F22" s="10" t="n"/>
    </row>
    <row r="24">
      <c r="B24" s="6" t="inlineStr">
        <is>
          <t>🌟 Défi bonus</t>
        </is>
      </c>
    </row>
    <row r="25">
      <c r="B25" s="3" t="inlineStr">
        <is>
          <t>Dans C26, trouve la note la PLUS GRANDE sans la chercher : tape  =MAX(C13:C18)</t>
        </is>
      </c>
    </row>
    <row r="26">
      <c r="B26" s="5" t="inlineStr">
        <is>
          <t>Ma meilleure note :</t>
        </is>
      </c>
      <c r="C26" s="10" t="n"/>
    </row>
  </sheetData>
  <mergeCells count="10">
    <mergeCell ref="B9:H9"/>
    <mergeCell ref="B4:H4"/>
    <mergeCell ref="B6:H6"/>
    <mergeCell ref="B24:H24"/>
    <mergeCell ref="B2:H2"/>
    <mergeCell ref="B25:H25"/>
    <mergeCell ref="B7:H7"/>
    <mergeCell ref="B10:H10"/>
    <mergeCell ref="B5:H5"/>
    <mergeCell ref="B22:E2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DCB6E"/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0" customHeight="1">
      <c r="B2" s="1" t="inlineStr">
        <is>
          <t>Leçon 4 — MIN, MAX et NB</t>
        </is>
      </c>
    </row>
    <row r="4">
      <c r="B4" s="5" t="inlineStr">
        <is>
          <t>Trois nouvelles fonctions super pratiques :</t>
        </is>
      </c>
    </row>
    <row r="5">
      <c r="B5" s="3" t="inlineStr">
        <is>
          <t>• =MAX(...)  →  donne le plus GRAND nombre.</t>
        </is>
      </c>
    </row>
    <row r="6">
      <c r="B6" s="3" t="inlineStr">
        <is>
          <t>• =MIN(...)  →  donne le plus PETIT nombre.</t>
        </is>
      </c>
    </row>
    <row r="7">
      <c r="B7" s="3" t="inlineStr">
        <is>
          <t>• =NB(...)   →  COMPTE combien il y a de nombres.</t>
        </is>
      </c>
    </row>
    <row r="9">
      <c r="B9" s="4" t="inlineStr">
        <is>
          <t>🌡️ Exercice — La météo de la semaine à Menton</t>
        </is>
      </c>
    </row>
    <row r="10">
      <c r="B10" s="3" t="inlineStr">
        <is>
          <t>Voici les températures. Réponds dans les cases jaunes avec la bonne fonction.</t>
        </is>
      </c>
    </row>
    <row r="12">
      <c r="B12" s="13" t="inlineStr">
        <is>
          <t>Jour</t>
        </is>
      </c>
      <c r="C12" s="13" t="inlineStr">
        <is>
          <t>Température (°C)</t>
        </is>
      </c>
      <c r="D12" s="9" t="n"/>
    </row>
    <row r="13">
      <c r="B13" s="15" t="inlineStr">
        <is>
          <t>Lundi</t>
        </is>
      </c>
      <c r="C13" s="15" t="n">
        <v>19</v>
      </c>
      <c r="D13" s="9" t="n"/>
    </row>
    <row r="14">
      <c r="B14" s="15" t="inlineStr">
        <is>
          <t>Mardi</t>
        </is>
      </c>
      <c r="C14" s="15" t="n">
        <v>22</v>
      </c>
      <c r="D14" s="9" t="n"/>
    </row>
    <row r="15">
      <c r="B15" s="15" t="inlineStr">
        <is>
          <t>Mercredi</t>
        </is>
      </c>
      <c r="C15" s="15" t="n">
        <v>25</v>
      </c>
      <c r="D15" s="9" t="n"/>
    </row>
    <row r="16">
      <c r="B16" s="15" t="inlineStr">
        <is>
          <t>Jeudi</t>
        </is>
      </c>
      <c r="C16" s="15" t="n">
        <v>21</v>
      </c>
      <c r="D16" s="9" t="n"/>
    </row>
    <row r="17">
      <c r="B17" s="15" t="inlineStr">
        <is>
          <t>Vendredi</t>
        </is>
      </c>
      <c r="C17" s="15" t="n">
        <v>27</v>
      </c>
      <c r="D17" s="9" t="n"/>
    </row>
    <row r="18">
      <c r="B18" s="15" t="inlineStr">
        <is>
          <t>Samedi</t>
        </is>
      </c>
      <c r="C18" s="15" t="n">
        <v>24</v>
      </c>
      <c r="D18" s="9" t="n"/>
    </row>
    <row r="19">
      <c r="B19" s="15" t="inlineStr">
        <is>
          <t>Dimanche</t>
        </is>
      </c>
      <c r="C19" s="15" t="n">
        <v>20</v>
      </c>
      <c r="D19" s="9" t="n"/>
    </row>
    <row r="20">
      <c r="B20" s="5" t="inlineStr">
        <is>
          <t>Jour le plus CHAUD (température max) :</t>
        </is>
      </c>
      <c r="F20" s="10" t="n"/>
    </row>
    <row r="21">
      <c r="B21" s="5" t="inlineStr">
        <is>
          <t>Jour le plus FROID (température min) :</t>
        </is>
      </c>
      <c r="F21" s="10" t="n"/>
    </row>
    <row r="22">
      <c r="B22" s="5" t="inlineStr">
        <is>
          <t>Combien de jours dans le tableau :</t>
        </is>
      </c>
      <c r="F22" s="10" t="n"/>
    </row>
    <row r="23">
      <c r="B23" s="5" t="inlineStr">
        <is>
          <t>Température MOYENNE de la semaine :</t>
        </is>
      </c>
      <c r="F23" s="10" t="n"/>
    </row>
  </sheetData>
  <mergeCells count="19">
    <mergeCell ref="B9:H9"/>
    <mergeCell ref="C15:D15"/>
    <mergeCell ref="B6:H6"/>
    <mergeCell ref="C14:D14"/>
    <mergeCell ref="B20:E20"/>
    <mergeCell ref="B5:H5"/>
    <mergeCell ref="C16:D16"/>
    <mergeCell ref="B4:H4"/>
    <mergeCell ref="B7:H7"/>
    <mergeCell ref="B22:E22"/>
    <mergeCell ref="C12:D12"/>
    <mergeCell ref="B21:E21"/>
    <mergeCell ref="B2:H2"/>
    <mergeCell ref="C17:D17"/>
    <mergeCell ref="B23:E23"/>
    <mergeCell ref="C19:D19"/>
    <mergeCell ref="C13:D13"/>
    <mergeCell ref="B10:H10"/>
    <mergeCell ref="C18:D18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D79A8"/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" t="inlineStr">
        <is>
          <t>Leçon 5 — La fonction SI (les conditions)</t>
        </is>
      </c>
    </row>
    <row r="4">
      <c r="B4" s="16" t="inlineStr">
        <is>
          <t>SI permet à Excel de DÉCIDER tout seul. C'est comme une question.</t>
        </is>
      </c>
    </row>
    <row r="5">
      <c r="B5" s="21" t="inlineStr">
        <is>
          <t>Formule :  =SI( condition ; "réponse si VRAI" ; "réponse si FAUX" )</t>
        </is>
      </c>
    </row>
    <row r="6">
      <c r="B6" s="22" t="inlineStr">
        <is>
          <t>Exemple :  =SI(C2&gt;=10 ; "Admis" ; "À revoir")</t>
        </is>
      </c>
    </row>
    <row r="7">
      <c r="B7" s="7" t="inlineStr">
        <is>
          <t>Ça veut dire : SI la note est ≥ 10 alors écris « Admis », SINON écris « À revoir ».</t>
        </is>
      </c>
    </row>
    <row r="8">
      <c r="B8" s="23" t="inlineStr">
        <is>
          <t>Les signes :   &gt;  plus grand    &lt;  plus petit    &gt;=  plus grand ou égal    =  égal</t>
        </is>
      </c>
    </row>
    <row r="10">
      <c r="B10" s="4" t="inlineStr">
        <is>
          <t>🎯 Exercice — Le bulletin de notes</t>
        </is>
      </c>
    </row>
    <row r="11">
      <c r="B11" s="3" t="inlineStr">
        <is>
          <t>Dans la colonne D, écris une formule SI : « Réussi » si la note est ≥ 10, sinon « À revoir ».</t>
        </is>
      </c>
    </row>
    <row r="13">
      <c r="B13" s="13" t="inlineStr">
        <is>
          <t>Matière</t>
        </is>
      </c>
      <c r="C13" s="13" t="inlineStr">
        <is>
          <t>Note / 20</t>
        </is>
      </c>
      <c r="D13" s="13" t="inlineStr">
        <is>
          <t>Résultat (à toi)</t>
        </is>
      </c>
      <c r="E13" s="11" t="n"/>
      <c r="F13" s="9" t="n"/>
    </row>
    <row r="14">
      <c r="B14" s="15" t="inlineStr">
        <is>
          <t>Français</t>
        </is>
      </c>
      <c r="C14" s="15" t="n">
        <v>12</v>
      </c>
      <c r="D14" s="10" t="n"/>
      <c r="E14" s="11" t="n"/>
      <c r="F14" s="9" t="n"/>
    </row>
    <row r="15">
      <c r="B15" s="15" t="inlineStr">
        <is>
          <t>Maths</t>
        </is>
      </c>
      <c r="C15" s="15" t="n">
        <v>8</v>
      </c>
      <c r="D15" s="10" t="n"/>
      <c r="E15" s="11" t="n"/>
      <c r="F15" s="9" t="n"/>
    </row>
    <row r="16">
      <c r="B16" s="15" t="inlineStr">
        <is>
          <t>Anglais</t>
        </is>
      </c>
      <c r="C16" s="15" t="n">
        <v>15</v>
      </c>
      <c r="D16" s="10" t="n"/>
      <c r="E16" s="11" t="n"/>
      <c r="F16" s="9" t="n"/>
    </row>
    <row r="17">
      <c r="B17" s="15" t="inlineStr">
        <is>
          <t>Histoire</t>
        </is>
      </c>
      <c r="C17" s="15" t="n">
        <v>9</v>
      </c>
      <c r="D17" s="10" t="n"/>
      <c r="E17" s="11" t="n"/>
      <c r="F17" s="9" t="n"/>
    </row>
    <row r="18">
      <c r="B18" s="15" t="inlineStr">
        <is>
          <t>Sciences</t>
        </is>
      </c>
      <c r="C18" s="15" t="n">
        <v>17</v>
      </c>
      <c r="D18" s="10" t="n"/>
      <c r="E18" s="11" t="n"/>
      <c r="F18" s="9" t="n"/>
    </row>
    <row r="20">
      <c r="B20" s="6" t="inlineStr">
        <is>
          <t>🐷 Défi — As-tu assez d'argent ?</t>
        </is>
      </c>
    </row>
    <row r="21">
      <c r="B21" s="3" t="inlineStr">
        <is>
          <t>Tu veux acheter un cadeau. En D22, écris : « Je peux l'acheter » si tu as assez, sinon « Trop cher ».</t>
        </is>
      </c>
    </row>
    <row r="23">
      <c r="B23" s="13" t="inlineStr">
        <is>
          <t>Mon argent (€)</t>
        </is>
      </c>
      <c r="C23" s="13" t="inlineStr">
        <is>
          <t>Prix cadeau (€)</t>
        </is>
      </c>
      <c r="D23" s="13" t="inlineStr">
        <is>
          <t>Alors ?</t>
        </is>
      </c>
      <c r="E23" s="11" t="n"/>
      <c r="F23" s="9" t="n"/>
    </row>
    <row r="24">
      <c r="B24" s="15" t="n">
        <v>25</v>
      </c>
      <c r="C24" s="15" t="n">
        <v>30</v>
      </c>
      <c r="D24" s="10" t="n"/>
      <c r="E24" s="11" t="n"/>
      <c r="F24" s="9" t="n"/>
    </row>
    <row r="26">
      <c r="B26" s="19" t="inlineStr">
        <is>
          <t>🔁 Change le nombre en B24 (mets 40) et regarde la réponse changer toute seule. Magique !</t>
        </is>
      </c>
    </row>
  </sheetData>
  <mergeCells count="19">
    <mergeCell ref="D13:F13"/>
    <mergeCell ref="B6:H6"/>
    <mergeCell ref="D17:F17"/>
    <mergeCell ref="B5:H5"/>
    <mergeCell ref="B20:H20"/>
    <mergeCell ref="D16:F16"/>
    <mergeCell ref="B26:H26"/>
    <mergeCell ref="B4:H4"/>
    <mergeCell ref="D18:F18"/>
    <mergeCell ref="B7:H7"/>
    <mergeCell ref="D15:F15"/>
    <mergeCell ref="D24:F24"/>
    <mergeCell ref="D14:F14"/>
    <mergeCell ref="D23:F23"/>
    <mergeCell ref="B21:H21"/>
    <mergeCell ref="B2:H2"/>
    <mergeCell ref="B11:H11"/>
    <mergeCell ref="B8:H8"/>
    <mergeCell ref="B10:H10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D79A8"/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24" t="inlineStr">
        <is>
          <t>Projet final 🐷 — Mon budget argent de poche</t>
        </is>
      </c>
    </row>
    <row r="4">
      <c r="B4" s="16" t="inlineStr">
        <is>
          <t>Bravo, tu as tout appris ! Maintenant, à toi de jouer comme une vraie pro d'Excel.</t>
        </is>
      </c>
    </row>
    <row r="5">
      <c r="B5" s="3" t="inlineStr">
        <is>
          <t>Tu reçois de l'argent de poche, et tu fais des dépenses. Remplis TOUTES les cases jaunes.</t>
        </is>
      </c>
    </row>
    <row r="7">
      <c r="B7" s="4" t="inlineStr">
        <is>
          <t>💰 1) Mes rentrées d'argent</t>
        </is>
      </c>
    </row>
    <row r="8">
      <c r="B8" s="13" t="inlineStr">
        <is>
          <t>Source</t>
        </is>
      </c>
      <c r="C8" s="13" t="inlineStr">
        <is>
          <t>Montant (€)</t>
        </is>
      </c>
    </row>
    <row r="9">
      <c r="B9" s="15" t="inlineStr">
        <is>
          <t>Argent de poche</t>
        </is>
      </c>
      <c r="C9" s="15" t="n">
        <v>20</v>
      </c>
    </row>
    <row r="10">
      <c r="B10" s="15" t="inlineStr">
        <is>
          <t>Cadeau mamie</t>
        </is>
      </c>
      <c r="C10" s="15" t="n">
        <v>15</v>
      </c>
    </row>
    <row r="11">
      <c r="B11" s="15" t="inlineStr">
        <is>
          <t>Petits services</t>
        </is>
      </c>
      <c r="C11" s="15" t="n">
        <v>10</v>
      </c>
    </row>
    <row r="12">
      <c r="B12" s="5" t="inlineStr">
        <is>
          <t>TOTAL reçu :</t>
        </is>
      </c>
      <c r="C12" s="20" t="n"/>
    </row>
    <row r="14">
      <c r="B14" s="25" t="inlineStr">
        <is>
          <t>🛍️ 2) Mes dépenses</t>
        </is>
      </c>
    </row>
    <row r="15">
      <c r="B15" s="13" t="inlineStr">
        <is>
          <t>Achat</t>
        </is>
      </c>
      <c r="C15" s="13" t="inlineStr">
        <is>
          <t>Prix (€)</t>
        </is>
      </c>
      <c r="D15" s="13" t="inlineStr">
        <is>
          <t>Quantité</t>
        </is>
      </c>
      <c r="E15" s="13" t="inlineStr">
        <is>
          <t>Total (€)</t>
        </is>
      </c>
    </row>
    <row r="16">
      <c r="B16" s="15" t="inlineStr">
        <is>
          <t>Magazine</t>
        </is>
      </c>
      <c r="C16" s="15" t="n">
        <v>4</v>
      </c>
      <c r="D16" s="15" t="n">
        <v>2</v>
      </c>
      <c r="E16" s="10" t="n"/>
    </row>
    <row r="17">
      <c r="B17" s="15" t="inlineStr">
        <is>
          <t>Bonbons</t>
        </is>
      </c>
      <c r="C17" s="15" t="n">
        <v>2</v>
      </c>
      <c r="D17" s="15" t="n">
        <v>3</v>
      </c>
      <c r="E17" s="10" t="n"/>
    </row>
    <row r="18">
      <c r="B18" s="15" t="inlineStr">
        <is>
          <t>Cinéma</t>
        </is>
      </c>
      <c r="C18" s="15" t="n">
        <v>9</v>
      </c>
      <c r="D18" s="15" t="n">
        <v>1</v>
      </c>
      <c r="E18" s="10" t="n"/>
    </row>
    <row r="19">
      <c r="B19" s="5" t="inlineStr">
        <is>
          <t>TOTAL dépensé :</t>
        </is>
      </c>
      <c r="E19" s="10" t="n"/>
    </row>
    <row r="21">
      <c r="B21" s="6" t="inlineStr">
        <is>
          <t>🧮 3) Mon bilan</t>
        </is>
      </c>
    </row>
    <row r="22">
      <c r="B22" s="5" t="inlineStr">
        <is>
          <t>Combien me reste-t-il ?  (argent reçu − argent dépensé)</t>
        </is>
      </c>
    </row>
    <row r="23">
      <c r="B23" s="5" t="inlineStr">
        <is>
          <t>Il me reste :</t>
        </is>
      </c>
      <c r="C23" s="20" t="n"/>
    </row>
    <row r="25">
      <c r="B25" s="5" t="inlineStr">
        <is>
          <t>Suis-je dans le vert ?  En C26, mets une formule SI :</t>
        </is>
      </c>
    </row>
    <row r="26">
      <c r="B26" s="3" t="inlineStr">
        <is>
          <t>« Super, j'ai économisé ! » si il me reste ≥ 0, sinon « Attention, trop dépensé ! »</t>
        </is>
      </c>
    </row>
    <row r="27">
      <c r="C27" s="10" t="n"/>
      <c r="D27" s="11" t="n"/>
      <c r="E27" s="11" t="n"/>
      <c r="F27" s="9" t="n"/>
    </row>
    <row r="29">
      <c r="B29" s="26" t="inlineStr">
        <is>
          <t>🎉 Quand tout est rempli, montre ton tableau à la prof. Tu sais utiliser Excel !</t>
        </is>
      </c>
    </row>
  </sheetData>
  <mergeCells count="11">
    <mergeCell ref="B22:H22"/>
    <mergeCell ref="B14:H14"/>
    <mergeCell ref="B26:H26"/>
    <mergeCell ref="B4:H4"/>
    <mergeCell ref="B21:H21"/>
    <mergeCell ref="B2:H2"/>
    <mergeCell ref="B29:H29"/>
    <mergeCell ref="B7:H7"/>
    <mergeCell ref="B25:H25"/>
    <mergeCell ref="C27:F27"/>
    <mergeCell ref="B5:H5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636E72"/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40" customWidth="1" min="4" max="4"/>
  </cols>
  <sheetData>
    <row r="2" ht="30" customHeight="1">
      <c r="B2" s="27" t="inlineStr">
        <is>
          <t>Solutions — réservé à la prof 👩‍🏫</t>
        </is>
      </c>
    </row>
    <row r="4" ht="30" customHeight="1">
      <c r="B4" s="7" t="inlineStr">
        <is>
          <t>Astuce : chaque case jaune contient déjà un petit commentaire (triangle rouge en haut à droite) avec la formule à taper. Survole-le avec la souris pour le voir.</t>
        </is>
      </c>
    </row>
    <row r="6">
      <c r="B6" s="28" t="inlineStr">
        <is>
          <t>Leçon / Exercice</t>
        </is>
      </c>
      <c r="C6" s="28" t="inlineStr">
        <is>
          <t>Cellule(s)</t>
        </is>
      </c>
      <c r="D6" s="28" t="inlineStr">
        <is>
          <t>Formule attendue / Résultat</t>
        </is>
      </c>
    </row>
    <row r="7">
      <c r="B7" s="29" t="inlineStr">
        <is>
          <t>Leçon 1 — Cellules</t>
        </is>
      </c>
      <c r="C7" s="30" t="inlineStr">
        <is>
          <t>F25</t>
        </is>
      </c>
      <c r="D7" s="31" t="inlineStr">
        <is>
          <t>"D23"  (le chat)</t>
        </is>
      </c>
    </row>
    <row r="8">
      <c r="B8" s="32" t="inlineStr"/>
      <c r="C8" s="33" t="inlineStr">
        <is>
          <t>F26</t>
        </is>
      </c>
      <c r="D8" s="34" t="inlineStr">
        <is>
          <t>"E22"  (la fraise)</t>
        </is>
      </c>
    </row>
    <row r="9">
      <c r="B9" s="32" t="inlineStr"/>
      <c r="C9" s="33" t="inlineStr">
        <is>
          <t>F27</t>
        </is>
      </c>
      <c r="D9" s="34" t="inlineStr">
        <is>
          <t>"C22"  (la pomme)</t>
        </is>
      </c>
    </row>
    <row r="10">
      <c r="B10" s="29" t="inlineStr">
        <is>
          <t>Leçon 2 — Calculs</t>
        </is>
      </c>
      <c r="C10" s="30" t="inlineStr">
        <is>
          <t>D15</t>
        </is>
      </c>
      <c r="D10" s="31">
        <f>8+5  → 13</f>
        <v/>
      </c>
    </row>
    <row r="11">
      <c r="B11" s="32" t="inlineStr"/>
      <c r="C11" s="33" t="inlineStr">
        <is>
          <t>D16</t>
        </is>
      </c>
      <c r="D11" s="34">
        <f>20-7 → 13</f>
        <v/>
      </c>
    </row>
    <row r="12">
      <c r="B12" s="32" t="inlineStr"/>
      <c r="C12" s="33" t="inlineStr">
        <is>
          <t>D17</t>
        </is>
      </c>
      <c r="D12" s="34">
        <f>6*9  → 54</f>
        <v/>
      </c>
    </row>
    <row r="13">
      <c r="B13" s="32" t="inlineStr"/>
      <c r="C13" s="33" t="inlineStr">
        <is>
          <t>D18</t>
        </is>
      </c>
      <c r="D13" s="34">
        <f>36/4 → 9</f>
        <v/>
      </c>
    </row>
    <row r="14">
      <c r="B14" s="32" t="inlineStr"/>
      <c r="C14" s="33" t="inlineStr">
        <is>
          <t>D19</t>
        </is>
      </c>
      <c r="D14" s="34">
        <f>12+3*2 → 18</f>
        <v/>
      </c>
    </row>
    <row r="15">
      <c r="B15" s="29" t="inlineStr">
        <is>
          <t xml:space="preserve">  Courses chien (E27:E30)</t>
        </is>
      </c>
      <c r="C15" s="30" t="inlineStr">
        <is>
          <t>E27</t>
        </is>
      </c>
      <c r="D15" s="31">
        <f>C27*D27 → 24 ; puis 12 ; 8 ; 15</f>
        <v/>
      </c>
    </row>
    <row r="16">
      <c r="B16" s="29" t="inlineStr">
        <is>
          <t>Leçon 3 — Somme/Moyenne</t>
        </is>
      </c>
      <c r="C16" s="30" t="inlineStr">
        <is>
          <t>C19</t>
        </is>
      </c>
      <c r="D16" s="31">
        <f>SOMME(C13:C18) → 84</f>
        <v/>
      </c>
    </row>
    <row r="17">
      <c r="B17" s="32" t="inlineStr"/>
      <c r="C17" s="33" t="inlineStr">
        <is>
          <t>C20</t>
        </is>
      </c>
      <c r="D17" s="34">
        <f>MOYENNE(C13:C18) → 14</f>
        <v/>
      </c>
    </row>
    <row r="18">
      <c r="B18" s="32" t="inlineStr"/>
      <c r="C18" s="33" t="inlineStr">
        <is>
          <t>F22</t>
        </is>
      </c>
      <c r="D18" s="34" t="inlineStr">
        <is>
          <t>OUI (14 &gt; 10)</t>
        </is>
      </c>
    </row>
    <row r="19">
      <c r="B19" s="32" t="inlineStr"/>
      <c r="C19" s="33" t="inlineStr">
        <is>
          <t>C26</t>
        </is>
      </c>
      <c r="D19" s="34">
        <f>MAX(C13:C18) → 18</f>
        <v/>
      </c>
    </row>
    <row r="20">
      <c r="B20" s="29" t="inlineStr">
        <is>
          <t>Leçon 4 — Min/Max/Nb</t>
        </is>
      </c>
      <c r="C20" s="30" t="inlineStr">
        <is>
          <t>F20</t>
        </is>
      </c>
      <c r="D20" s="31">
        <f>MAX(C13:C19) → 27 (Vendredi)</f>
        <v/>
      </c>
    </row>
    <row r="21">
      <c r="B21" s="32" t="inlineStr"/>
      <c r="C21" s="33" t="inlineStr">
        <is>
          <t>F21</t>
        </is>
      </c>
      <c r="D21" s="34">
        <f>MIN(C13:C19) → 19 (Lundi)</f>
        <v/>
      </c>
    </row>
    <row r="22">
      <c r="B22" s="32" t="inlineStr"/>
      <c r="C22" s="33" t="inlineStr">
        <is>
          <t>F22</t>
        </is>
      </c>
      <c r="D22" s="34">
        <f>NB(C13:C19) → 7</f>
        <v/>
      </c>
    </row>
    <row r="23">
      <c r="B23" s="32" t="inlineStr"/>
      <c r="C23" s="33" t="inlineStr">
        <is>
          <t>F23</t>
        </is>
      </c>
      <c r="D23" s="34">
        <f>MOYENNE(C13:C19) → 22.57</f>
        <v/>
      </c>
    </row>
    <row r="24">
      <c r="B24" s="29" t="inlineStr">
        <is>
          <t>Leçon 5 — SI</t>
        </is>
      </c>
      <c r="C24" s="30" t="inlineStr">
        <is>
          <t>D14:D18</t>
        </is>
      </c>
      <c r="D24" s="31">
        <f>SI(C14&gt;=10;"Réussi";"À revoir")</f>
        <v/>
      </c>
    </row>
    <row r="25">
      <c r="B25" s="29" t="inlineStr">
        <is>
          <t xml:space="preserve">  (résultats)</t>
        </is>
      </c>
      <c r="C25" s="30" t="inlineStr">
        <is>
          <t>—</t>
        </is>
      </c>
      <c r="D25" s="31" t="inlineStr">
        <is>
          <t>Réussi / À revoir / Réussi / À revoir / Réussi</t>
        </is>
      </c>
    </row>
    <row r="26">
      <c r="B26" s="32" t="inlineStr"/>
      <c r="C26" s="33" t="inlineStr">
        <is>
          <t>D24</t>
        </is>
      </c>
      <c r="D26" s="34">
        <f>SI(B24&gt;=C24;"Je peux l'acheter";"Trop cher")</f>
        <v/>
      </c>
    </row>
    <row r="27">
      <c r="B27" s="29" t="inlineStr">
        <is>
          <t>Projet — Rentrées</t>
        </is>
      </c>
      <c r="C27" s="30" t="inlineStr">
        <is>
          <t>C12</t>
        </is>
      </c>
      <c r="D27" s="31">
        <f>SOMME(C9:C11) → 45</f>
        <v/>
      </c>
    </row>
    <row r="28">
      <c r="B28" s="29" t="inlineStr">
        <is>
          <t>Projet — Dépenses</t>
        </is>
      </c>
      <c r="C28" s="30" t="inlineStr">
        <is>
          <t>E16:E18</t>
        </is>
      </c>
      <c r="D28" s="31">
        <f>C16*D16 → 8 ; 6 ; 9</f>
        <v/>
      </c>
    </row>
    <row r="29">
      <c r="B29" s="32" t="inlineStr"/>
      <c r="C29" s="33" t="inlineStr">
        <is>
          <t>E19</t>
        </is>
      </c>
      <c r="D29" s="34">
        <f>SOMME(E16:E18) → 23</f>
        <v/>
      </c>
    </row>
    <row r="30">
      <c r="B30" s="29" t="inlineStr">
        <is>
          <t>Projet — Bilan</t>
        </is>
      </c>
      <c r="C30" s="30" t="inlineStr">
        <is>
          <t>C23</t>
        </is>
      </c>
      <c r="D30" s="31">
        <f>C12-E19 → 22</f>
        <v/>
      </c>
    </row>
    <row r="31">
      <c r="B31" s="32" t="inlineStr"/>
      <c r="C31" s="33" t="inlineStr">
        <is>
          <t>C27</t>
        </is>
      </c>
      <c r="D31" s="34">
        <f>SI(C23&gt;=0;"Super, j'ai économisé !";"...") → Super !</f>
        <v/>
      </c>
    </row>
  </sheetData>
  <mergeCells count="2"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2026-06-23T16:09:53Z</dcterms:created>
  <dcterms:modified xsi:type="dcterms:W3CDTF">2026-06-23T16:09:53Z</dcterms:modified>
</cp:coreProperties>
</file>