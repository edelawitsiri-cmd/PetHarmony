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1. Se repérer" sheetId="2" state="visible" r:id="rId2"/>
    <sheet name="2. Calculs de base" sheetId="3" state="visible" r:id="rId3"/>
    <sheet name="3. SOMME et MOYENNE" sheetId="4" state="visible" r:id="rId4"/>
    <sheet name="4. MIN MAX NB" sheetId="5" state="visible" r:id="rId5"/>
    <sheet name="5. Fonction SI" sheetId="6" state="visible" r:id="rId6"/>
    <sheet name="6. Projet tableau de bord" sheetId="7" state="visible" r:id="rId7"/>
    <sheet name="Corrigé (formateu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F3A5F"/>
      <sz val="12"/>
    </font>
    <font>
      <color rgb="005A6672"/>
      <sz val="11"/>
    </font>
    <font>
      <b val="1"/>
      <color rgb="00FFFFFF"/>
      <sz val="11.5"/>
    </font>
    <font>
      <color rgb="0022303C"/>
      <sz val="11"/>
    </font>
    <font>
      <b val="1"/>
      <color rgb="001F3A5F"/>
    </font>
    <font>
      <i val="1"/>
      <color rgb="005A6672"/>
      <sz val="11"/>
    </font>
    <font>
      <b val="1"/>
      <color rgb="0022303C"/>
      <sz val="11"/>
    </font>
    <font>
      <b val="1"/>
      <color rgb="00FFFFFF"/>
    </font>
    <font/>
    <font>
      <i val="1"/>
      <color rgb="00B03A2E"/>
      <sz val="11"/>
    </font>
    <font>
      <b val="1"/>
      <i val="1"/>
      <color rgb="002E5E8C"/>
    </font>
    <font>
      <b val="1"/>
      <color rgb="001F3A5F"/>
      <sz val="11"/>
    </font>
    <font>
      <name val="Consolas"/>
      <b val="1"/>
      <color rgb="002E7D5B"/>
    </font>
    <font>
      <b val="1"/>
    </font>
    <font>
      <b val="1"/>
      <color rgb="002E7D5B"/>
      <sz val="11"/>
    </font>
    <font>
      <name val="Consolas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8C"/>
      </patternFill>
    </fill>
    <fill>
      <patternFill patternType="solid">
        <fgColor rgb="00B08D2A"/>
      </patternFill>
    </fill>
    <fill>
      <patternFill patternType="solid">
        <fgColor rgb="00FBF1D0"/>
      </patternFill>
    </fill>
    <fill>
      <patternFill patternType="solid">
        <fgColor rgb="00DCEFE6"/>
      </patternFill>
    </fill>
    <fill>
      <patternFill patternType="solid">
        <fgColor rgb="00DCE6F1"/>
      </patternFill>
    </fill>
    <fill>
      <patternFill patternType="solid">
        <fgColor rgb="002E7D5B"/>
      </patternFill>
    </fill>
    <fill>
      <patternFill patternType="solid">
        <fgColor rgb="00B03A2E"/>
      </patternFill>
    </fill>
    <fill>
      <patternFill patternType="solid">
        <fgColor rgb="005A6672"/>
      </patternFill>
    </fill>
    <fill>
      <patternFill patternType="solid">
        <fgColor rgb="00EEF1F4"/>
      </patternFill>
    </fill>
  </fills>
  <borders count="8">
    <border>
      <left/>
      <right/>
      <top/>
      <bottom/>
      <diagonal/>
    </border>
    <border>
      <left style="thin">
        <color rgb="009FB3C8"/>
      </left>
      <right style="thin">
        <color rgb="009FB3C8"/>
      </right>
      <top style="thin">
        <color rgb="009FB3C8"/>
      </top>
      <bottom style="thin">
        <color rgb="009FB3C8"/>
      </bottom>
    </border>
    <border>
      <left style="thin">
        <color rgb="00B08D2A"/>
      </left>
      <right style="thin">
        <color rgb="00B08D2A"/>
      </right>
      <top style="thin">
        <color rgb="00B08D2A"/>
      </top>
      <bottom style="thin">
        <color rgb="00B08D2A"/>
      </bottom>
    </border>
    <border>
      <left style="medium">
        <color rgb="002E7D5B"/>
      </left>
      <right style="medium">
        <color rgb="002E7D5B"/>
      </right>
      <top style="medium">
        <color rgb="002E7D5B"/>
      </top>
      <bottom style="medium">
        <color rgb="002E7D5B"/>
      </bottom>
    </border>
    <border>
      <left/>
      <right/>
      <top style="medium">
        <color rgb="002E7D5B"/>
      </top>
      <bottom/>
      <diagonal/>
    </border>
    <border>
      <left/>
      <right style="medium">
        <color rgb="002E7D5B"/>
      </right>
      <top style="medium">
        <color rgb="002E7D5B"/>
      </top>
      <bottom/>
      <diagonal/>
    </border>
    <border>
      <left/>
      <right/>
      <top style="medium">
        <color rgb="002E7D5B"/>
      </top>
      <bottom style="medium">
        <color rgb="002E7D5B"/>
      </bottom>
      <diagonal/>
    </border>
    <border>
      <left/>
      <right style="medium">
        <color rgb="002E7D5B"/>
      </right>
      <top style="medium">
        <color rgb="002E7D5B"/>
      </top>
      <bottom style="medium">
        <color rgb="002E7D5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6" fillId="6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4" fillId="8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6" fillId="0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center" inden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30" customHeight="1">
      <c r="B2" s="1" t="inlineStr">
        <is>
          <t>UNIVERSITÉ DE MONTE-CARLO  —  Initiation à Excel</t>
        </is>
      </c>
    </row>
    <row r="4">
      <c r="B4" s="2" t="inlineStr">
        <is>
          <t>Service de la Scolarité — Formation au tableur</t>
        </is>
      </c>
    </row>
    <row r="5">
      <c r="B5" s="3" t="inlineStr">
        <is>
          <t>Ce classeur vous forme à Excel à travers des cas concrets du quotidien administratif d'une université : inscriptions, frais, moyennes, crédits ECTS, statistiques de promotion et tableau de bord.</t>
        </is>
      </c>
    </row>
    <row r="7">
      <c r="B7" s="4" t="inlineStr">
        <is>
          <t>Comment utiliser ce classeur</t>
        </is>
      </c>
    </row>
    <row r="8">
      <c r="B8" s="5" t="inlineStr">
        <is>
          <t>•  Les onglets, en bas de l'écran, se suivent dans l'ordre (1 → 6).</t>
        </is>
      </c>
    </row>
    <row r="9">
      <c r="B9" s="5" t="inlineStr">
        <is>
          <t>•  Chaque exercice a un encadré ORANGE « Ce que tu dois faire » : lis-le d'abord.</t>
        </is>
      </c>
    </row>
    <row r="10">
      <c r="B10" s="5" t="inlineStr">
        <is>
          <t>•  Les cellules VERTES (bord épais) sont à compléter par TOI.</t>
        </is>
      </c>
    </row>
    <row r="11">
      <c r="B11" s="5" t="inlineStr">
        <is>
          <t>•  Les cellules BLEUES claires sont des EXEMPLES déjà faits : copie le modèle.</t>
        </is>
      </c>
    </row>
    <row r="12">
      <c r="B12" s="5" t="inlineStr">
        <is>
          <t>•  Une formule commence toujours par le signe = , puis on appuie sur Entrée.</t>
        </is>
      </c>
    </row>
    <row r="14">
      <c r="B14" s="6" t="inlineStr">
        <is>
          <t>Programme de la formation</t>
        </is>
      </c>
    </row>
    <row r="15">
      <c r="B15" s="7" t="inlineStr">
        <is>
          <t>Onglet 1</t>
        </is>
      </c>
      <c r="C15" s="5" t="inlineStr">
        <is>
          <t>Se repérer dans une feuille (lignes, colonnes, cellules)</t>
        </is>
      </c>
    </row>
    <row r="16">
      <c r="B16" s="7" t="inlineStr">
        <is>
          <t>Onglet 2</t>
        </is>
      </c>
      <c r="C16" s="5" t="inlineStr">
        <is>
          <t>Calculs de base : frais d'inscription ( + − × ÷ )</t>
        </is>
      </c>
    </row>
    <row r="17">
      <c r="B17" s="7" t="inlineStr">
        <is>
          <t>Onglet 3</t>
        </is>
      </c>
      <c r="C17" s="5" t="inlineStr">
        <is>
          <t>SOMME et MOYENNE : relevé de notes et crédits ECTS</t>
        </is>
      </c>
    </row>
    <row r="18">
      <c r="B18" s="7" t="inlineStr">
        <is>
          <t>Onglet 4</t>
        </is>
      </c>
      <c r="C18" s="5" t="inlineStr">
        <is>
          <t>MIN, MAX, NB, NB.SI : statistiques d'une promotion</t>
        </is>
      </c>
    </row>
    <row r="19">
      <c r="B19" s="7" t="inlineStr">
        <is>
          <t>Onglet 5</t>
        </is>
      </c>
      <c r="C19" s="5" t="inlineStr">
        <is>
          <t>Fonction SI : admission et mention</t>
        </is>
      </c>
    </row>
    <row r="20">
      <c r="B20" s="7" t="inlineStr">
        <is>
          <t>Onglet 6</t>
        </is>
      </c>
      <c r="C20" s="5" t="inlineStr">
        <is>
          <t>Projet final : tableau de bord d'un étudiant</t>
        </is>
      </c>
    </row>
    <row r="21">
      <c r="B21" s="7" t="inlineStr">
        <is>
          <t>Annexe</t>
        </is>
      </c>
      <c r="C21" s="5" t="inlineStr">
        <is>
          <t>Corrigé complet (réservé au formateur)</t>
        </is>
      </c>
    </row>
    <row r="23">
      <c r="B23" s="8" t="inlineStr">
        <is>
          <t>Astuce : une erreur ? Appuie sur Ctrl + Z pour annuler la dernière action.</t>
        </is>
      </c>
    </row>
  </sheetData>
  <mergeCells count="18">
    <mergeCell ref="B2:G2"/>
    <mergeCell ref="C21:G21"/>
    <mergeCell ref="B10:G10"/>
    <mergeCell ref="C20:G20"/>
    <mergeCell ref="B5:G5"/>
    <mergeCell ref="B14:G14"/>
    <mergeCell ref="C16:G16"/>
    <mergeCell ref="C15:G15"/>
    <mergeCell ref="B9:G9"/>
    <mergeCell ref="B23:G23"/>
    <mergeCell ref="B8:G8"/>
    <mergeCell ref="B4:G4"/>
    <mergeCell ref="C19:G19"/>
    <mergeCell ref="B12:G12"/>
    <mergeCell ref="C17:G17"/>
    <mergeCell ref="C18:G18"/>
    <mergeCell ref="B7:G7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8C"/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2" ht="26" customHeight="1">
      <c r="B2" s="1" t="inlineStr">
        <is>
          <t>Onglet 1 — Se repérer dans une feuille</t>
        </is>
      </c>
    </row>
    <row r="4">
      <c r="B4" s="9" t="inlineStr">
        <is>
          <t>Une feuille Excel est une grille. Chaque case est une CELLULE.</t>
        </is>
      </c>
    </row>
    <row r="5">
      <c r="B5" s="5" t="inlineStr">
        <is>
          <t>• Les colonnes portent des LETTRES (A, B, C…) en haut.</t>
        </is>
      </c>
    </row>
    <row r="6">
      <c r="B6" s="5" t="inlineStr">
        <is>
          <t>• Les lignes portent des NUMÉROS (1, 2, 3…) à gauche.</t>
        </is>
      </c>
    </row>
    <row r="7">
      <c r="B7" s="5" t="inlineStr">
        <is>
          <t>• Le nom d'une cellule = la lettre de sa colonne + le numéro de sa ligne (ex. C10).</t>
        </is>
      </c>
    </row>
    <row r="9">
      <c r="B9" s="4" t="inlineStr">
        <is>
          <t>Exemple : liste des étudiants inscrits</t>
        </is>
      </c>
    </row>
    <row r="11">
      <c r="B11" s="10" t="inlineStr">
        <is>
          <t>N° étudiant</t>
        </is>
      </c>
      <c r="C11" s="10" t="inlineStr">
        <is>
          <t>Nom</t>
        </is>
      </c>
      <c r="D11" s="10" t="inlineStr">
        <is>
          <t>Prénom</t>
        </is>
      </c>
      <c r="E11" s="10" t="inlineStr">
        <is>
          <t>Filière</t>
        </is>
      </c>
      <c r="F11" s="10" t="inlineStr">
        <is>
          <t>Année</t>
        </is>
      </c>
    </row>
    <row r="12">
      <c r="B12" s="11" t="inlineStr">
        <is>
          <t>20231</t>
        </is>
      </c>
      <c r="C12" s="12" t="inlineStr">
        <is>
          <t>Rossi</t>
        </is>
      </c>
      <c r="D12" s="12" t="inlineStr">
        <is>
          <t>Giulia</t>
        </is>
      </c>
      <c r="E12" s="12" t="inlineStr">
        <is>
          <t>Droit</t>
        </is>
      </c>
      <c r="F12" s="11" t="inlineStr">
        <is>
          <t>L1</t>
        </is>
      </c>
    </row>
    <row r="13">
      <c r="B13" s="11" t="inlineStr">
        <is>
          <t>20232</t>
        </is>
      </c>
      <c r="C13" s="12" t="inlineStr">
        <is>
          <t>Martin</t>
        </is>
      </c>
      <c r="D13" s="12" t="inlineStr">
        <is>
          <t>Léa</t>
        </is>
      </c>
      <c r="E13" s="12" t="inlineStr">
        <is>
          <t>Économie</t>
        </is>
      </c>
      <c r="F13" s="11" t="inlineStr">
        <is>
          <t>L2</t>
        </is>
      </c>
    </row>
    <row r="14">
      <c r="B14" s="11" t="inlineStr">
        <is>
          <t>20233</t>
        </is>
      </c>
      <c r="C14" s="12" t="inlineStr">
        <is>
          <t>Bianchi</t>
        </is>
      </c>
      <c r="D14" s="12" t="inlineStr">
        <is>
          <t>Marco</t>
        </is>
      </c>
      <c r="E14" s="12" t="inlineStr">
        <is>
          <t>Informatique</t>
        </is>
      </c>
      <c r="F14" s="11" t="inlineStr">
        <is>
          <t>L1</t>
        </is>
      </c>
    </row>
    <row r="15">
      <c r="B15" s="11" t="inlineStr">
        <is>
          <t>20234</t>
        </is>
      </c>
      <c r="C15" s="12" t="inlineStr">
        <is>
          <t>Dubois</t>
        </is>
      </c>
      <c r="D15" s="12" t="inlineStr">
        <is>
          <t>Hugo</t>
        </is>
      </c>
      <c r="E15" s="12" t="inlineStr">
        <is>
          <t>Droit</t>
        </is>
      </c>
      <c r="F15" s="11" t="inlineStr">
        <is>
          <t>L3</t>
        </is>
      </c>
    </row>
    <row r="17">
      <c r="B17" s="6" t="inlineStr">
        <is>
          <t>Exercice — Lis le tableau ci-dessus</t>
        </is>
      </c>
    </row>
    <row r="18">
      <c r="B18" s="13" t="inlineStr">
        <is>
          <t>Ce que tu dois faire : pour chaque question, écris dans la cellule VERTE le NOM de la cellule demandée (une lettre + un numéro, par exemple C12). Regarde bien le tableau du dessus.</t>
        </is>
      </c>
      <c r="C18" s="14" t="n"/>
      <c r="D18" s="14" t="n"/>
      <c r="E18" s="14" t="n"/>
      <c r="F18" s="14" t="n"/>
      <c r="G18" s="14" t="n"/>
    </row>
    <row r="19">
      <c r="B19" s="14" t="n"/>
      <c r="C19" s="14" t="n"/>
      <c r="D19" s="14" t="n"/>
      <c r="E19" s="14" t="n"/>
      <c r="F19" s="14" t="n"/>
      <c r="G19" s="14" t="n"/>
    </row>
    <row r="21">
      <c r="B21" s="5" t="inlineStr">
        <is>
          <t>•  Dans quelle cellule se trouve le nom « Bianchi » ?</t>
        </is>
      </c>
      <c r="F21" s="15" t="n"/>
    </row>
    <row r="22">
      <c r="B22" s="5" t="inlineStr">
        <is>
          <t>•  Dans quelle cellule se trouve la filière « Économie » ?</t>
        </is>
      </c>
      <c r="F22" s="15" t="n"/>
    </row>
    <row r="23">
      <c r="B23" s="5" t="inlineStr">
        <is>
          <t>•  Dans quelle cellule se trouve l'année de l'étudiante Giulia Rossi ?</t>
        </is>
      </c>
      <c r="F23" s="15" t="n"/>
    </row>
    <row r="24">
      <c r="B24" s="5" t="inlineStr">
        <is>
          <t>•  Dans quelle cellule se trouve le numéro étudiant « 20234 » ?</t>
        </is>
      </c>
      <c r="F24" s="15" t="n"/>
    </row>
    <row r="26">
      <c r="B26" s="8" t="inlineStr">
        <is>
          <t>Rappel : « Bianchi » est dans la colonne C (Nom) et sur la ligne 14 → réponse : C14.</t>
        </is>
      </c>
    </row>
  </sheetData>
  <mergeCells count="13">
    <mergeCell ref="B2:G2"/>
    <mergeCell ref="B23:E23"/>
    <mergeCell ref="B22:E22"/>
    <mergeCell ref="B5:G5"/>
    <mergeCell ref="B17:G17"/>
    <mergeCell ref="B9:G9"/>
    <mergeCell ref="B21:E21"/>
    <mergeCell ref="B4:G4"/>
    <mergeCell ref="B26:G26"/>
    <mergeCell ref="B24:E24"/>
    <mergeCell ref="B18:G19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E8C"/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2" ht="26" customHeight="1">
      <c r="B2" s="1" t="inlineStr">
        <is>
          <t>Onglet 2 — Calculs de base ( + − × ÷ )</t>
        </is>
      </c>
    </row>
    <row r="4">
      <c r="B4" s="9" t="inlineStr">
        <is>
          <t>Excel calcule pour toi. Toute formule commence par = puis utilise :</t>
        </is>
      </c>
    </row>
    <row r="5">
      <c r="B5" s="5" t="inlineStr">
        <is>
          <t>•  +  additionner   (=50+30 donne 80)</t>
        </is>
      </c>
    </row>
    <row r="6">
      <c r="B6" s="5" t="inlineStr">
        <is>
          <t>•  −  soustraire    (=200-75 donne 125)</t>
        </is>
      </c>
    </row>
    <row r="7">
      <c r="B7" s="5" t="inlineStr">
        <is>
          <t>•  *  multiplier    (=12*4 donne 48)</t>
        </is>
      </c>
    </row>
    <row r="8">
      <c r="B8" s="5" t="inlineStr">
        <is>
          <t>•  /  diviser       (=600/3 donne 200)</t>
        </is>
      </c>
    </row>
    <row r="9">
      <c r="B9" s="16" t="inlineStr">
        <is>
          <t>Important : on multiplie avec * (étoile) et on divise avec / (barre oblique).</t>
        </is>
      </c>
    </row>
    <row r="11">
      <c r="B11" s="6" t="inlineStr">
        <is>
          <t>Exercice — Calculer les frais d'inscription par étudiant</t>
        </is>
      </c>
    </row>
    <row r="12">
      <c r="B12" s="13" t="inlineStr">
        <is>
          <t>Contexte : chaque étudiant paie des frais = (frais de base × 1) + (coût par crédit ECTS × nombre de crédits). Pour simplifier ici : Total = Frais de base + (Prix du crédit × Nombre de crédits). La 1re ligne (Rossi) est déjà faite en BLEU comme MODÈLE. À toi de faire les suivantes dans les cellules VERTES, en changeant juste le numéro de ligne.</t>
        </is>
      </c>
      <c r="C12" s="14" t="n"/>
      <c r="D12" s="14" t="n"/>
      <c r="E12" s="14" t="n"/>
      <c r="F12" s="14" t="n"/>
      <c r="G12" s="14" t="n"/>
    </row>
    <row r="13">
      <c r="B13" s="14" t="n"/>
      <c r="C13" s="14" t="n"/>
      <c r="D13" s="14" t="n"/>
      <c r="E13" s="14" t="n"/>
      <c r="F13" s="14" t="n"/>
      <c r="G13" s="14" t="n"/>
    </row>
    <row r="14">
      <c r="B14" s="14" t="n"/>
      <c r="C14" s="14" t="n"/>
      <c r="D14" s="14" t="n"/>
      <c r="E14" s="14" t="n"/>
      <c r="F14" s="14" t="n"/>
      <c r="G14" s="14" t="n"/>
    </row>
    <row r="16">
      <c r="B16" s="10" t="inlineStr">
        <is>
          <t>Étudiant</t>
        </is>
      </c>
      <c r="C16" s="10" t="inlineStr">
        <is>
          <t>Frais de base (€)</t>
        </is>
      </c>
      <c r="D16" s="10" t="inlineStr">
        <is>
          <t>Prix/crédit (€)</t>
        </is>
      </c>
      <c r="E16" s="10" t="inlineStr">
        <is>
          <t>Nb crédits</t>
        </is>
      </c>
      <c r="F16" s="10" t="inlineStr">
        <is>
          <t>TOTAL (€)</t>
        </is>
      </c>
    </row>
    <row r="17">
      <c r="B17" s="12" t="inlineStr">
        <is>
          <t>Rossi</t>
        </is>
      </c>
      <c r="C17" s="11" t="n">
        <v>300</v>
      </c>
      <c r="D17" s="11" t="n">
        <v>15</v>
      </c>
      <c r="E17" s="11" t="n">
        <v>12</v>
      </c>
      <c r="F17" s="17">
        <f>C17+D17*E17</f>
        <v/>
      </c>
    </row>
    <row r="18">
      <c r="B18" s="12" t="inlineStr">
        <is>
          <t>Martin</t>
        </is>
      </c>
      <c r="C18" s="11" t="n">
        <v>300</v>
      </c>
      <c r="D18" s="11" t="n">
        <v>15</v>
      </c>
      <c r="E18" s="11" t="n">
        <v>18</v>
      </c>
      <c r="F18" s="15" t="n"/>
    </row>
    <row r="19">
      <c r="B19" s="12" t="inlineStr">
        <is>
          <t>Bianchi</t>
        </is>
      </c>
      <c r="C19" s="11" t="n">
        <v>300</v>
      </c>
      <c r="D19" s="11" t="n">
        <v>15</v>
      </c>
      <c r="E19" s="11" t="n">
        <v>20</v>
      </c>
      <c r="F19" s="15" t="n"/>
    </row>
    <row r="20">
      <c r="B20" s="12" t="inlineStr">
        <is>
          <t>Dubois</t>
        </is>
      </c>
      <c r="C20" s="11" t="n">
        <v>300</v>
      </c>
      <c r="D20" s="11" t="n">
        <v>15</v>
      </c>
      <c r="E20" s="11" t="n">
        <v>24</v>
      </c>
      <c r="F20" s="15" t="n"/>
    </row>
    <row r="22">
      <c r="B22" s="8" t="inlineStr">
        <is>
          <t>Comment lire le modèle =C17+D17*E17 : Excel prend la valeur de C17 (300), y ajoute D17×E17 (15×18). Pour la ligne 18, tape dans F18 :  =C18+D18*E18  puis Entrée.</t>
        </is>
      </c>
    </row>
    <row r="23"/>
    <row r="25">
      <c r="B25" s="4" t="inlineStr">
        <is>
          <t>Mini-défi</t>
        </is>
      </c>
    </row>
    <row r="26">
      <c r="B26" s="5" t="inlineStr">
        <is>
          <t>Dans la cellule verte, calcule le total des frais des 4 étudiants à payer : additionne F17 à F20.</t>
        </is>
      </c>
      <c r="F26" s="15" t="n"/>
    </row>
    <row r="27">
      <c r="B27" s="8" t="inlineStr">
        <is>
          <t>Indice : tape  =F17+F18+F19+F20</t>
        </is>
      </c>
    </row>
  </sheetData>
  <mergeCells count="13">
    <mergeCell ref="B2:G2"/>
    <mergeCell ref="B26:E26"/>
    <mergeCell ref="B5:G5"/>
    <mergeCell ref="B9:G9"/>
    <mergeCell ref="B25:G25"/>
    <mergeCell ref="B8:G8"/>
    <mergeCell ref="B27:G27"/>
    <mergeCell ref="B4:G4"/>
    <mergeCell ref="B22:G23"/>
    <mergeCell ref="B12:G14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5B"/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2" ht="26" customHeight="1">
      <c r="B2" s="1" t="inlineStr">
        <is>
          <t>Onglet 3 — SOMME et MOYENNE</t>
        </is>
      </c>
    </row>
    <row r="4">
      <c r="B4" s="9" t="inlineStr">
        <is>
          <t>Pour traiter beaucoup de nombres, on utilise des FONCTIONS toutes prêtes :</t>
        </is>
      </c>
    </row>
    <row r="5">
      <c r="B5" s="5" t="inlineStr">
        <is>
          <t>•  =SOMME(C5:C10)  additionne toutes les cellules de C5 jusqu'à C10.</t>
        </is>
      </c>
    </row>
    <row r="6">
      <c r="B6" s="5" t="inlineStr">
        <is>
          <t>•  =MOYENNE(C5:C10)  calcule la moyenne de ces mêmes cellules.</t>
        </is>
      </c>
    </row>
    <row r="7">
      <c r="B7" s="8" t="inlineStr">
        <is>
          <t>Le symbole « : » signifie « jusqu'à ». C5:C10 = toutes les cases de C5 à C10.</t>
        </is>
      </c>
    </row>
    <row r="9">
      <c r="B9" s="6" t="inlineStr">
        <is>
          <t>Exercice — Relevé de notes du semestre</t>
        </is>
      </c>
    </row>
    <row r="10">
      <c r="B10" s="13" t="inlineStr">
        <is>
          <t>Voici les notes (sur 20) d'une étudiante et les crédits ECTS de chaque matière. Tu dois remplir les 4 cellules VERTES en bas en suivant les indications de la colonne de gauche. Écris la formule EXACTEMENT comme indiqué, puis appuie sur Entrée.</t>
        </is>
      </c>
      <c r="C10" s="14" t="n"/>
      <c r="D10" s="14" t="n"/>
      <c r="E10" s="14" t="n"/>
      <c r="F10" s="14" t="n"/>
      <c r="G10" s="14" t="n"/>
    </row>
    <row r="11">
      <c r="B11" s="14" t="n"/>
      <c r="C11" s="14" t="n"/>
      <c r="D11" s="14" t="n"/>
      <c r="E11" s="14" t="n"/>
      <c r="F11" s="14" t="n"/>
      <c r="G11" s="14" t="n"/>
    </row>
    <row r="12">
      <c r="B12" s="14" t="n"/>
      <c r="C12" s="14" t="n"/>
      <c r="D12" s="14" t="n"/>
      <c r="E12" s="14" t="n"/>
      <c r="F12" s="14" t="n"/>
      <c r="G12" s="14" t="n"/>
    </row>
    <row r="14">
      <c r="B14" s="10" t="inlineStr">
        <is>
          <t>Matière</t>
        </is>
      </c>
      <c r="C14" s="10" t="inlineStr">
        <is>
          <t>Note / 20</t>
        </is>
      </c>
      <c r="D14" s="10" t="inlineStr">
        <is>
          <t>Crédits ECTS</t>
        </is>
      </c>
    </row>
    <row r="15">
      <c r="B15" s="12" t="inlineStr">
        <is>
          <t>Droit civil</t>
        </is>
      </c>
      <c r="C15" s="11" t="n">
        <v>14</v>
      </c>
      <c r="D15" s="11" t="n">
        <v>6</v>
      </c>
    </row>
    <row r="16">
      <c r="B16" s="12" t="inlineStr">
        <is>
          <t>Microéconomie</t>
        </is>
      </c>
      <c r="C16" s="11" t="n">
        <v>11</v>
      </c>
      <c r="D16" s="11" t="n">
        <v>4</v>
      </c>
    </row>
    <row r="17">
      <c r="B17" s="12" t="inlineStr">
        <is>
          <t>Anglais juridique</t>
        </is>
      </c>
      <c r="C17" s="11" t="n">
        <v>16</v>
      </c>
      <c r="D17" s="11" t="n">
        <v>3</v>
      </c>
    </row>
    <row r="18">
      <c r="B18" s="12" t="inlineStr">
        <is>
          <t>Histoire du droit</t>
        </is>
      </c>
      <c r="C18" s="11" t="n">
        <v>9</v>
      </c>
      <c r="D18" s="11" t="n">
        <v>5</v>
      </c>
    </row>
    <row r="19">
      <c r="B19" s="12" t="inlineStr">
        <is>
          <t>Méthodologie</t>
        </is>
      </c>
      <c r="C19" s="11" t="n">
        <v>13</v>
      </c>
      <c r="D19" s="11" t="n">
        <v>2</v>
      </c>
    </row>
    <row r="21">
      <c r="B21" s="9" t="inlineStr">
        <is>
          <t>Total des points (notes) — tape  =SOMME(C15:C19)</t>
        </is>
      </c>
      <c r="C21" s="15" t="n"/>
    </row>
    <row r="22">
      <c r="B22" s="9" t="inlineStr">
        <is>
          <t>Moyenne générale /20 — tape  =MOYENNE(C15:C19)</t>
        </is>
      </c>
      <c r="C22" s="15" t="n"/>
    </row>
    <row r="23">
      <c r="B23" s="9" t="inlineStr">
        <is>
          <t>Total des crédits ECTS — tape  =SOMME(D15:D19)</t>
        </is>
      </c>
      <c r="D23" s="15" t="n"/>
    </row>
    <row r="25">
      <c r="B25" s="5" t="inlineStr">
        <is>
          <t>Question : la moyenne (cellule C22) est-elle ≥ 10 ? Écris OUI ou NON dans la case verte.</t>
        </is>
      </c>
      <c r="F25" s="18" t="n"/>
    </row>
  </sheetData>
  <mergeCells count="11">
    <mergeCell ref="B2:G2"/>
    <mergeCell ref="B23:E23"/>
    <mergeCell ref="B22:E22"/>
    <mergeCell ref="B5:G5"/>
    <mergeCell ref="B9:G9"/>
    <mergeCell ref="B21:E21"/>
    <mergeCell ref="B4:G4"/>
    <mergeCell ref="B10:G12"/>
    <mergeCell ref="B7:G7"/>
    <mergeCell ref="B25:G25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5B"/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2" ht="26" customHeight="1">
      <c r="B2" s="1" t="inlineStr">
        <is>
          <t>Onglet 4 — MIN, MAX, NB et NB.SI</t>
        </is>
      </c>
    </row>
    <row r="4">
      <c r="B4" s="9" t="inlineStr">
        <is>
          <t>Quatre fonctions pour analyser une série de nombres :</t>
        </is>
      </c>
    </row>
    <row r="5">
      <c r="B5" s="5" t="inlineStr">
        <is>
          <t>•  =MAX(plage)    donne le plus GRAND nombre.</t>
        </is>
      </c>
    </row>
    <row r="6">
      <c r="B6" s="5" t="inlineStr">
        <is>
          <t>•  =MIN(plage)    donne le plus PETIT nombre.</t>
        </is>
      </c>
    </row>
    <row r="7">
      <c r="B7" s="5" t="inlineStr">
        <is>
          <t>•  =NB(plage)     COMPTE combien il y a de nombres.</t>
        </is>
      </c>
    </row>
    <row r="8">
      <c r="B8" s="5" t="inlineStr">
        <is>
          <t>•  =NB.SI(plage ; critère)  compte selon une condition (ex. les ≥ 10).</t>
        </is>
      </c>
    </row>
    <row r="10">
      <c r="B10" s="6" t="inlineStr">
        <is>
          <t>Exercice — Notes de la promotion de L1 Droit</t>
        </is>
      </c>
    </row>
    <row r="11">
      <c r="B11" s="13" t="inlineStr">
        <is>
          <t>Le tableau donne la note de l'examen final de chaque étudiant. Remplis les cellules VERTES : lis bien la phrase à gauche, elle te dit exactement quelle formule taper. La plage des notes va de C15 à C24.</t>
        </is>
      </c>
      <c r="C11" s="14" t="n"/>
      <c r="D11" s="14" t="n"/>
      <c r="E11" s="14" t="n"/>
      <c r="F11" s="14" t="n"/>
      <c r="G11" s="14" t="n"/>
    </row>
    <row r="12">
      <c r="B12" s="14" t="n"/>
      <c r="C12" s="14" t="n"/>
      <c r="D12" s="14" t="n"/>
      <c r="E12" s="14" t="n"/>
      <c r="F12" s="14" t="n"/>
      <c r="G12" s="14" t="n"/>
    </row>
    <row r="13">
      <c r="B13" s="14" t="n"/>
      <c r="C13" s="14" t="n"/>
      <c r="D13" s="14" t="n"/>
      <c r="E13" s="14" t="n"/>
      <c r="F13" s="14" t="n"/>
      <c r="G13" s="14" t="n"/>
    </row>
    <row r="14">
      <c r="B14" s="10" t="inlineStr">
        <is>
          <t>Étudiant</t>
        </is>
      </c>
      <c r="C14" s="10" t="inlineStr">
        <is>
          <t>Note finale / 20</t>
        </is>
      </c>
    </row>
    <row r="15">
      <c r="B15" s="12" t="inlineStr">
        <is>
          <t>Rossi</t>
        </is>
      </c>
      <c r="C15" s="11" t="n">
        <v>14</v>
      </c>
      <c r="E15" s="5" t="inlineStr">
        <is>
          <t>Meilleure note — tape  =MAX(C15:C24)</t>
        </is>
      </c>
      <c r="G15" s="15" t="n"/>
    </row>
    <row r="16">
      <c r="B16" s="12" t="inlineStr">
        <is>
          <t>Martin</t>
        </is>
      </c>
      <c r="C16" s="11" t="n">
        <v>17</v>
      </c>
      <c r="E16" s="5" t="inlineStr">
        <is>
          <t>Note la plus basse — tape  =MIN(C15:C24)</t>
        </is>
      </c>
      <c r="G16" s="15" t="n"/>
    </row>
    <row r="17">
      <c r="B17" s="12" t="inlineStr">
        <is>
          <t>Bianchi</t>
        </is>
      </c>
      <c r="C17" s="11" t="n">
        <v>8</v>
      </c>
      <c r="E17" s="5" t="inlineStr">
        <is>
          <t>Nombre d'étudiants notés — tape  =NB(C15:C24)</t>
        </is>
      </c>
      <c r="G17" s="15" t="n"/>
    </row>
    <row r="18">
      <c r="B18" s="12" t="inlineStr">
        <is>
          <t>Dubois</t>
        </is>
      </c>
      <c r="C18" s="11" t="n">
        <v>12</v>
      </c>
      <c r="E18" s="5" t="inlineStr">
        <is>
          <t>Nombre d'admis (note ≥ 10) — tape  =NB.SI(C15:C24;"&gt;=10")</t>
        </is>
      </c>
      <c r="G18" s="15" t="n"/>
    </row>
    <row r="19">
      <c r="B19" s="12" t="inlineStr">
        <is>
          <t>Leroy</t>
        </is>
      </c>
      <c r="C19" s="11" t="n">
        <v>19</v>
      </c>
      <c r="E19" s="5" t="inlineStr">
        <is>
          <t>Moyenne de la promotion — tape  =MOYENNE(C15:C24)</t>
        </is>
      </c>
      <c r="G19" s="15" t="n"/>
    </row>
    <row r="20">
      <c r="B20" s="12" t="inlineStr">
        <is>
          <t>Conti</t>
        </is>
      </c>
      <c r="C20" s="11" t="n">
        <v>10</v>
      </c>
    </row>
    <row r="21">
      <c r="B21" s="12" t="inlineStr">
        <is>
          <t>Moreau</t>
        </is>
      </c>
      <c r="C21" s="11" t="n">
        <v>6</v>
      </c>
    </row>
    <row r="22">
      <c r="B22" s="12" t="inlineStr">
        <is>
          <t>Ferrari</t>
        </is>
      </c>
      <c r="C22" s="11" t="n">
        <v>15</v>
      </c>
    </row>
    <row r="23">
      <c r="B23" s="12" t="inlineStr">
        <is>
          <t>Petit</t>
        </is>
      </c>
      <c r="C23" s="11" t="n">
        <v>11</v>
      </c>
    </row>
    <row r="24">
      <c r="B24" s="12" t="inlineStr">
        <is>
          <t>Greco</t>
        </is>
      </c>
      <c r="C24" s="11" t="n">
        <v>13</v>
      </c>
    </row>
  </sheetData>
  <mergeCells count="13">
    <mergeCell ref="B2:G2"/>
    <mergeCell ref="B11:G13"/>
    <mergeCell ref="B10:G10"/>
    <mergeCell ref="E16:F16"/>
    <mergeCell ref="B5:G5"/>
    <mergeCell ref="E15:F15"/>
    <mergeCell ref="E19:F19"/>
    <mergeCell ref="B8:G8"/>
    <mergeCell ref="B4:G4"/>
    <mergeCell ref="E17:F17"/>
    <mergeCell ref="E18:F18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8D2A"/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24" customWidth="1" min="4" max="4"/>
    <col width="18" customWidth="1" min="5" max="5"/>
    <col width="16" customWidth="1" min="6" max="6"/>
    <col width="14" customWidth="1" min="7" max="7"/>
  </cols>
  <sheetData>
    <row r="2" ht="26" customHeight="1">
      <c r="B2" s="1" t="inlineStr">
        <is>
          <t>Onglet 5 — La fonction SI (les conditions)</t>
        </is>
      </c>
    </row>
    <row r="4">
      <c r="B4" s="19" t="inlineStr">
        <is>
          <t>SI permet à Excel de DÉCIDER selon une condition. Structure :</t>
        </is>
      </c>
    </row>
    <row r="5">
      <c r="B5" s="20">
        <f>SI( condition ; "valeur si VRAI" ; "valeur si FAUX" )</f>
        <v/>
      </c>
    </row>
    <row r="6">
      <c r="B6" s="3" t="inlineStr">
        <is>
          <t>Exemple :  =SI(C2&gt;=10 ; "Admis" ; "Ajourné")   →  si la note de C2 est ≥ 10, Excel écrit « Admis », sinon « Ajourné ».</t>
        </is>
      </c>
    </row>
    <row r="7">
      <c r="B7" s="3" t="inlineStr">
        <is>
          <t>Les guillemets " " servent à écrire du texte. Les signes : &gt;  &lt;  &gt;=  &lt;=  =</t>
        </is>
      </c>
    </row>
    <row r="9">
      <c r="B9" s="6" t="inlineStr">
        <is>
          <t>Exercice 1 — Décision d'admission</t>
        </is>
      </c>
    </row>
    <row r="10">
      <c r="B10" s="13" t="inlineStr">
        <is>
          <t>Dans la colonne D, écris pour chaque étudiant « Admis » si la note est ≥ 10, sinon « Ajourné ». La 1re ligne (Rossi, D14) est faite en MODÈLE bleu. Pour les autres, tape la même formule en changeant le numéro de ligne (ex. en D15 : =SI(C15&gt;=10;"Admis";"Ajourné")).</t>
        </is>
      </c>
      <c r="C10" s="14" t="n"/>
      <c r="D10" s="14" t="n"/>
      <c r="E10" s="14" t="n"/>
      <c r="F10" s="14" t="n"/>
      <c r="G10" s="14" t="n"/>
    </row>
    <row r="11">
      <c r="B11" s="14" t="n"/>
      <c r="C11" s="14" t="n"/>
      <c r="D11" s="14" t="n"/>
      <c r="E11" s="14" t="n"/>
      <c r="F11" s="14" t="n"/>
      <c r="G11" s="14" t="n"/>
    </row>
    <row r="12">
      <c r="B12" s="14" t="n"/>
      <c r="C12" s="14" t="n"/>
      <c r="D12" s="14" t="n"/>
      <c r="E12" s="14" t="n"/>
      <c r="F12" s="14" t="n"/>
      <c r="G12" s="14" t="n"/>
    </row>
    <row r="13">
      <c r="B13" s="10" t="inlineStr">
        <is>
          <t>Étudiant</t>
        </is>
      </c>
      <c r="C13" s="10" t="inlineStr">
        <is>
          <t>Note / 20</t>
        </is>
      </c>
      <c r="D13" s="10" t="inlineStr">
        <is>
          <t>Résultat</t>
        </is>
      </c>
    </row>
    <row r="14">
      <c r="B14" s="12" t="inlineStr">
        <is>
          <t>Rossi</t>
        </is>
      </c>
      <c r="C14" s="11" t="n">
        <v>14</v>
      </c>
      <c r="D14" s="17">
        <f>SI(C14&gt;=10;"Admis";"Ajourné")</f>
        <v/>
      </c>
    </row>
    <row r="15">
      <c r="B15" s="12" t="inlineStr">
        <is>
          <t>Martin</t>
        </is>
      </c>
      <c r="C15" s="11" t="n">
        <v>8</v>
      </c>
      <c r="D15" s="15" t="n"/>
    </row>
    <row r="16">
      <c r="B16" s="12" t="inlineStr">
        <is>
          <t>Bianchi</t>
        </is>
      </c>
      <c r="C16" s="11" t="n">
        <v>15</v>
      </c>
      <c r="D16" s="15" t="n"/>
    </row>
    <row r="17">
      <c r="B17" s="12" t="inlineStr">
        <is>
          <t>Dubois</t>
        </is>
      </c>
      <c r="C17" s="11" t="n">
        <v>9</v>
      </c>
      <c r="D17" s="15" t="n"/>
    </row>
    <row r="18">
      <c r="B18" s="12" t="inlineStr">
        <is>
          <t>Leroy</t>
        </is>
      </c>
      <c r="C18" s="11" t="n">
        <v>11</v>
      </c>
      <c r="D18" s="15" t="n"/>
    </row>
    <row r="20">
      <c r="B20" s="4" t="inlineStr">
        <is>
          <t>Exercice 2 — Attribuer la mention</t>
        </is>
      </c>
    </row>
    <row r="21">
      <c r="B21" s="13" t="inlineStr">
        <is>
          <t>Plus difficile : on imbrique deux SI. En D25, on veut « Très bien » si la moyenne ≥ 16, sinon « Bien » si ≥ 14, sinon « Passable ». La formule est déjà écrite comme MODÈLE : lis-la, puis change la valeur de la moyenne en C25 (essaie 17, puis 13) et observe le résultat changer.</t>
        </is>
      </c>
      <c r="C21" s="14" t="n"/>
      <c r="D21" s="14" t="n"/>
      <c r="E21" s="14" t="n"/>
      <c r="F21" s="14" t="n"/>
      <c r="G21" s="14" t="n"/>
    </row>
    <row r="22">
      <c r="B22" s="14" t="n"/>
      <c r="C22" s="14" t="n"/>
      <c r="D22" s="14" t="n"/>
      <c r="E22" s="14" t="n"/>
      <c r="F22" s="14" t="n"/>
      <c r="G22" s="14" t="n"/>
    </row>
    <row r="23">
      <c r="B23" s="14" t="n"/>
      <c r="C23" s="14" t="n"/>
      <c r="D23" s="14" t="n"/>
      <c r="E23" s="14" t="n"/>
      <c r="F23" s="14" t="n"/>
      <c r="G23" s="14" t="n"/>
    </row>
    <row r="24">
      <c r="B24" s="10" t="inlineStr">
        <is>
          <t>Étudiant</t>
        </is>
      </c>
      <c r="C24" s="10" t="inlineStr">
        <is>
          <t>Moyenne /20</t>
        </is>
      </c>
      <c r="D24" s="10" t="inlineStr">
        <is>
          <t>Mention</t>
        </is>
      </c>
    </row>
    <row r="25">
      <c r="B25" s="12" t="inlineStr">
        <is>
          <t>Ferrari</t>
        </is>
      </c>
      <c r="C25" s="18" t="n">
        <v>15</v>
      </c>
      <c r="D25" s="17">
        <f>SI(C25&gt;=16;"Très bien";SI(C25&gt;=14;"Bien";"Passable"))</f>
        <v/>
      </c>
    </row>
    <row r="26">
      <c r="B26" s="8" t="inlineStr">
        <is>
          <t>(Écris un nombre dans la case orange C25, puis regarde la mention en D25.)</t>
        </is>
      </c>
    </row>
  </sheetData>
  <mergeCells count="10">
    <mergeCell ref="B2:G2"/>
    <mergeCell ref="B20:G20"/>
    <mergeCell ref="B5:G5"/>
    <mergeCell ref="B9:G9"/>
    <mergeCell ref="B4:G4"/>
    <mergeCell ref="B26:G26"/>
    <mergeCell ref="B10:G12"/>
    <mergeCell ref="B7:G7"/>
    <mergeCell ref="B21:G23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2" ht="28" customHeight="1">
      <c r="B2" s="1" t="inlineStr">
        <is>
          <t>Projet final — Tableau de bord d'un étudiant</t>
        </is>
      </c>
    </row>
    <row r="4">
      <c r="B4" s="9" t="inlineStr">
        <is>
          <t>Tu réunis tout ce que tu as appris. Remplis TOUTES les cellules vertes dans l'ordre.</t>
        </is>
      </c>
    </row>
    <row r="6">
      <c r="B6" s="21" t="inlineStr">
        <is>
          <t>1) Budget du semestre — Recettes</t>
        </is>
      </c>
    </row>
    <row r="7">
      <c r="B7" s="13" t="inlineStr">
        <is>
          <t>Additionne les recettes dans la cellule verte C12 : tape  =SOMME(C9:C11)</t>
        </is>
      </c>
      <c r="C7" s="14" t="n"/>
      <c r="D7" s="14" t="n"/>
      <c r="E7" s="14" t="n"/>
      <c r="F7" s="14" t="n"/>
      <c r="G7" s="14" t="n"/>
    </row>
    <row r="8">
      <c r="B8" s="22" t="inlineStr">
        <is>
          <t>Source</t>
        </is>
      </c>
      <c r="C8" s="22" t="inlineStr">
        <is>
          <t>Montant (€)</t>
        </is>
      </c>
    </row>
    <row r="9">
      <c r="B9" s="12" t="inlineStr">
        <is>
          <t>Bourse</t>
        </is>
      </c>
      <c r="C9" s="11" t="n">
        <v>900</v>
      </c>
    </row>
    <row r="10">
      <c r="B10" s="12" t="inlineStr">
        <is>
          <t>Job étudiant</t>
        </is>
      </c>
      <c r="C10" s="11" t="n">
        <v>450</v>
      </c>
    </row>
    <row r="11">
      <c r="B11" s="12" t="inlineStr">
        <is>
          <t>Aide familiale</t>
        </is>
      </c>
      <c r="C11" s="11" t="n">
        <v>300</v>
      </c>
    </row>
    <row r="12">
      <c r="B12" s="23" t="inlineStr">
        <is>
          <t>TOTAL recettes</t>
        </is>
      </c>
      <c r="C12" s="15" t="n"/>
    </row>
    <row r="14">
      <c r="B14" s="24" t="inlineStr">
        <is>
          <t>2) Dépenses</t>
        </is>
      </c>
    </row>
    <row r="15" ht="28" customHeight="1">
      <c r="B15" s="13" t="inlineStr">
        <is>
          <t>Total de chaque ligne = prix × quantité dans la colonne E (vertes). Modèle en E17 : =C17*D17.</t>
        </is>
      </c>
      <c r="C15" s="14" t="n"/>
      <c r="D15" s="14" t="n"/>
      <c r="E15" s="14" t="n"/>
      <c r="F15" s="14" t="n"/>
      <c r="G15" s="14" t="n"/>
    </row>
    <row r="16">
      <c r="B16" s="25" t="inlineStr">
        <is>
          <t>Poste</t>
        </is>
      </c>
      <c r="C16" s="25" t="inlineStr">
        <is>
          <t>Prix unitaire (€)</t>
        </is>
      </c>
      <c r="D16" s="25" t="inlineStr">
        <is>
          <t>Quantité</t>
        </is>
      </c>
      <c r="E16" s="25" t="inlineStr">
        <is>
          <t>Total (€)</t>
        </is>
      </c>
    </row>
    <row r="17">
      <c r="B17" s="12" t="inlineStr">
        <is>
          <t>Loyer mensuel</t>
        </is>
      </c>
      <c r="C17" s="11" t="n">
        <v>400</v>
      </c>
      <c r="D17" s="11" t="n">
        <v>6</v>
      </c>
      <c r="E17" s="17">
        <f>C17*D17</f>
        <v/>
      </c>
    </row>
    <row r="18">
      <c r="B18" s="12" t="inlineStr">
        <is>
          <t>Repas resto U</t>
        </is>
      </c>
      <c r="C18" s="11" t="n">
        <v>3</v>
      </c>
      <c r="D18" s="11" t="n">
        <v>80</v>
      </c>
      <c r="E18" s="15" t="n"/>
    </row>
    <row r="19">
      <c r="B19" s="12" t="inlineStr">
        <is>
          <t>Transport</t>
        </is>
      </c>
      <c r="C19" s="11" t="n">
        <v>25</v>
      </c>
      <c r="D19" s="11" t="n">
        <v>6</v>
      </c>
      <c r="E19" s="15" t="n"/>
    </row>
    <row r="20">
      <c r="B20" s="12" t="inlineStr">
        <is>
          <t>Fournitures</t>
        </is>
      </c>
      <c r="C20" s="11" t="n">
        <v>60</v>
      </c>
      <c r="D20" s="11" t="n">
        <v>1</v>
      </c>
      <c r="E20" s="15" t="n"/>
    </row>
    <row r="21">
      <c r="B21" s="23" t="inlineStr">
        <is>
          <t>TOTAL dépenses — tape  =SOMME(E17:E20)</t>
        </is>
      </c>
      <c r="E21" s="15" t="n"/>
    </row>
    <row r="23">
      <c r="B23" s="6" t="inlineStr">
        <is>
          <t>3) Bilan et alerte</t>
        </is>
      </c>
    </row>
    <row r="24" ht="24" customHeight="1">
      <c r="B24" s="13" t="inlineStr">
        <is>
          <t>En C25 : ce qu'il reste = recettes − dépenses → tape  =C12-E21</t>
        </is>
      </c>
      <c r="C24" s="14" t="n"/>
      <c r="D24" s="14" t="n"/>
      <c r="E24" s="14" t="n"/>
      <c r="F24" s="14" t="n"/>
      <c r="G24" s="14" t="n"/>
    </row>
    <row r="25">
      <c r="B25" s="23" t="inlineStr">
        <is>
          <t>Solde restant (€)</t>
        </is>
      </c>
      <c r="C25" s="15" t="n"/>
    </row>
    <row r="26" ht="24" customHeight="1">
      <c r="B26" s="13" t="inlineStr">
        <is>
          <t>En C27 : alerte automatique → tape  =SI(C25&gt;=0;"Budget équilibré";"Découvert !")</t>
        </is>
      </c>
      <c r="C26" s="14" t="n"/>
      <c r="D26" s="14" t="n"/>
      <c r="E26" s="14" t="n"/>
      <c r="F26" s="14" t="n"/>
      <c r="G26" s="14" t="n"/>
    </row>
    <row r="27">
      <c r="B27" s="23" t="inlineStr">
        <is>
          <t>Situation</t>
        </is>
      </c>
      <c r="C27" s="18" t="n"/>
      <c r="D27" s="26" t="n"/>
      <c r="E27" s="27" t="n"/>
    </row>
    <row r="29">
      <c r="B29" s="28" t="inlineStr">
        <is>
          <t>Quand tout est complété et correct, le tableau de bord est terminé. Bravo : tu sais utiliser les formules essentielles d'Excel.</t>
        </is>
      </c>
    </row>
  </sheetData>
  <mergeCells count="11">
    <mergeCell ref="B24:G24"/>
    <mergeCell ref="B2:G2"/>
    <mergeCell ref="C27:E27"/>
    <mergeCell ref="B14:G14"/>
    <mergeCell ref="B23:G23"/>
    <mergeCell ref="B4:G4"/>
    <mergeCell ref="B26:G26"/>
    <mergeCell ref="B29:G29"/>
    <mergeCell ref="B15:G15"/>
    <mergeCell ref="B7:G7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6672"/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44" customWidth="1" min="4" max="4"/>
  </cols>
  <sheetData>
    <row r="2" ht="26" customHeight="1">
      <c r="B2" s="29" t="inlineStr">
        <is>
          <t>Corrigé complet — réservé au formateur</t>
        </is>
      </c>
    </row>
    <row r="4">
      <c r="B4" s="30" t="inlineStr">
        <is>
          <t>Onglet / Exercice</t>
        </is>
      </c>
      <c r="C4" s="30" t="inlineStr">
        <is>
          <t>Cellule(s)</t>
        </is>
      </c>
      <c r="D4" s="30" t="inlineStr">
        <is>
          <t>Formule attendue → résultat</t>
        </is>
      </c>
    </row>
    <row r="5">
      <c r="B5" s="31" t="inlineStr">
        <is>
          <t>1. Se repérer</t>
        </is>
      </c>
      <c r="C5" s="32" t="inlineStr">
        <is>
          <t>F21</t>
        </is>
      </c>
      <c r="D5" s="33" t="inlineStr">
        <is>
          <t>"C14"  (Bianchi)</t>
        </is>
      </c>
    </row>
    <row r="6">
      <c r="B6" s="34" t="inlineStr"/>
      <c r="C6" s="35" t="inlineStr">
        <is>
          <t>F22</t>
        </is>
      </c>
      <c r="D6" s="36" t="inlineStr">
        <is>
          <t>"E13"  (Économie)</t>
        </is>
      </c>
    </row>
    <row r="7">
      <c r="B7" s="34" t="inlineStr"/>
      <c r="C7" s="35" t="inlineStr">
        <is>
          <t>F23</t>
        </is>
      </c>
      <c r="D7" s="36" t="inlineStr">
        <is>
          <t>"F12"  (année L1 de Rossi)</t>
        </is>
      </c>
    </row>
    <row r="8">
      <c r="B8" s="34" t="inlineStr"/>
      <c r="C8" s="35" t="inlineStr">
        <is>
          <t>F24</t>
        </is>
      </c>
      <c r="D8" s="36" t="inlineStr">
        <is>
          <t>"B15"  (n° 20234)</t>
        </is>
      </c>
    </row>
    <row r="9">
      <c r="B9" s="31" t="inlineStr">
        <is>
          <t>2. Calculs de base</t>
        </is>
      </c>
      <c r="C9" s="32" t="inlineStr">
        <is>
          <t>F17 (modèle)</t>
        </is>
      </c>
      <c r="D9" s="33">
        <f>C17+D17*E17 → 480</f>
        <v/>
      </c>
    </row>
    <row r="10">
      <c r="B10" s="34" t="inlineStr"/>
      <c r="C10" s="35" t="inlineStr">
        <is>
          <t>F18 / F19 / F20</t>
        </is>
      </c>
      <c r="D10" s="36">
        <f>C18+D18*E18 → 570 ; 600 ; 660</f>
        <v/>
      </c>
    </row>
    <row r="11">
      <c r="B11" s="34" t="inlineStr"/>
      <c r="C11" s="35" t="inlineStr">
        <is>
          <t>F26</t>
        </is>
      </c>
      <c r="D11" s="36">
        <f>F17+F18+F19+F20 → 2310</f>
        <v/>
      </c>
    </row>
    <row r="12">
      <c r="B12" s="31" t="inlineStr">
        <is>
          <t>3. SOMME/MOYENNE</t>
        </is>
      </c>
      <c r="C12" s="32" t="inlineStr">
        <is>
          <t>C21</t>
        </is>
      </c>
      <c r="D12" s="33">
        <f>SOMME(C15:C19) → 63</f>
        <v/>
      </c>
    </row>
    <row r="13">
      <c r="B13" s="34" t="inlineStr"/>
      <c r="C13" s="35" t="inlineStr">
        <is>
          <t>C22</t>
        </is>
      </c>
      <c r="D13" s="36">
        <f>MOYENNE(C15:C19) → 12.6</f>
        <v/>
      </c>
    </row>
    <row r="14">
      <c r="B14" s="34" t="inlineStr"/>
      <c r="C14" s="35" t="inlineStr">
        <is>
          <t>D23</t>
        </is>
      </c>
      <c r="D14" s="36">
        <f>SOMME(D15:D19) → 20</f>
        <v/>
      </c>
    </row>
    <row r="15">
      <c r="B15" s="34" t="inlineStr"/>
      <c r="C15" s="35" t="inlineStr">
        <is>
          <t>F25</t>
        </is>
      </c>
      <c r="D15" s="36" t="inlineStr">
        <is>
          <t>OUI (12.6 ≥ 10)</t>
        </is>
      </c>
    </row>
    <row r="16">
      <c r="B16" s="31" t="inlineStr">
        <is>
          <t>4. MIN/MAX/NB</t>
        </is>
      </c>
      <c r="C16" s="32" t="inlineStr">
        <is>
          <t>G15</t>
        </is>
      </c>
      <c r="D16" s="33">
        <f>MAX(C15:C24) → 19</f>
        <v/>
      </c>
    </row>
    <row r="17">
      <c r="B17" s="34" t="inlineStr"/>
      <c r="C17" s="35" t="inlineStr">
        <is>
          <t>G16</t>
        </is>
      </c>
      <c r="D17" s="36">
        <f>MIN(C15:C24) → 6</f>
        <v/>
      </c>
    </row>
    <row r="18">
      <c r="B18" s="34" t="inlineStr"/>
      <c r="C18" s="35" t="inlineStr">
        <is>
          <t>G17</t>
        </is>
      </c>
      <c r="D18" s="36">
        <f>NB(C15:C24) → 10</f>
        <v/>
      </c>
    </row>
    <row r="19">
      <c r="B19" s="34" t="inlineStr"/>
      <c r="C19" s="35" t="inlineStr">
        <is>
          <t>G18</t>
        </is>
      </c>
      <c r="D19" s="36">
        <f>NB.SI(C15:C24;"&gt;=10") → 7</f>
        <v/>
      </c>
    </row>
    <row r="20">
      <c r="B20" s="34" t="inlineStr"/>
      <c r="C20" s="35" t="inlineStr">
        <is>
          <t>G19</t>
        </is>
      </c>
      <c r="D20" s="36">
        <f>MOYENNE(C15:C24) → 12.5</f>
        <v/>
      </c>
    </row>
    <row r="21">
      <c r="B21" s="31" t="inlineStr">
        <is>
          <t>5. SI — admission</t>
        </is>
      </c>
      <c r="C21" s="32" t="inlineStr">
        <is>
          <t>D14 (modèle)</t>
        </is>
      </c>
      <c r="D21" s="33">
        <f>SI(C14&gt;=10;"Admis";"Ajourné")</f>
        <v/>
      </c>
    </row>
    <row r="22">
      <c r="B22" s="34" t="inlineStr"/>
      <c r="C22" s="35" t="inlineStr">
        <is>
          <t>D15:D18</t>
        </is>
      </c>
      <c r="D22" s="36" t="inlineStr">
        <is>
          <t>Ajourné / Admis / Ajourné / Admis</t>
        </is>
      </c>
    </row>
    <row r="23">
      <c r="B23" s="31" t="inlineStr">
        <is>
          <t>5. SI — mention</t>
        </is>
      </c>
      <c r="C23" s="32" t="inlineStr">
        <is>
          <t>D25</t>
        </is>
      </c>
      <c r="D23" s="33">
        <f>SI(C25&gt;=16;"Très bien";SI(C25&gt;=14;"Bien";"Passable"))</f>
        <v/>
      </c>
    </row>
    <row r="24">
      <c r="B24" s="31" t="inlineStr">
        <is>
          <t>6. Projet — recettes</t>
        </is>
      </c>
      <c r="C24" s="32" t="inlineStr">
        <is>
          <t>C12</t>
        </is>
      </c>
      <c r="D24" s="33">
        <f>SOMME(C9:C11) → 1650</f>
        <v/>
      </c>
    </row>
    <row r="25">
      <c r="B25" s="31" t="inlineStr">
        <is>
          <t>6. Projet — dépenses</t>
        </is>
      </c>
      <c r="C25" s="32" t="inlineStr">
        <is>
          <t>E17 (modèle)</t>
        </is>
      </c>
      <c r="D25" s="33">
        <f>C17*D17 → 2400</f>
        <v/>
      </c>
    </row>
    <row r="26">
      <c r="B26" s="34" t="inlineStr"/>
      <c r="C26" s="35" t="inlineStr">
        <is>
          <t>E18 / E19 / E20</t>
        </is>
      </c>
      <c r="D26" s="36">
        <f>C18*D18 → 240 ; 150 ; 60</f>
        <v/>
      </c>
    </row>
    <row r="27">
      <c r="B27" s="34" t="inlineStr"/>
      <c r="C27" s="35" t="inlineStr">
        <is>
          <t>E21</t>
        </is>
      </c>
      <c r="D27" s="36">
        <f>SOMME(E17:E20) → 2850</f>
        <v/>
      </c>
    </row>
    <row r="28">
      <c r="B28" s="31" t="inlineStr">
        <is>
          <t>6. Projet — bilan</t>
        </is>
      </c>
      <c r="C28" s="32" t="inlineStr">
        <is>
          <t>C25</t>
        </is>
      </c>
      <c r="D28" s="33">
        <f>C12-E21 → -1200</f>
        <v/>
      </c>
    </row>
    <row r="29">
      <c r="B29" s="34" t="inlineStr"/>
      <c r="C29" s="35" t="inlineStr">
        <is>
          <t>C27</t>
        </is>
      </c>
      <c r="D29" s="36">
        <f>SI(C25&gt;=0;"Budget équilibré";"Découvert !") → Découvert !</f>
        <v/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2026-06-23T16:42:20Z</dcterms:created>
  <dcterms:modified xsi:type="dcterms:W3CDTF">2026-06-23T16:42:20Z</dcterms:modified>
</cp:coreProperties>
</file>